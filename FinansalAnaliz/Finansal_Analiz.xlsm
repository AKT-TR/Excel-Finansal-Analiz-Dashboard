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BuÇalışmaKitabı" defaultThemeVersion="164011"/>
  <bookViews>
    <workbookView xWindow="0" yWindow="0" windowWidth="22260" windowHeight="12648" activeTab="1"/>
  </bookViews>
  <sheets>
    <sheet name="veri" sheetId="1" r:id="rId1"/>
    <sheet name="analiz" sheetId="4" r:id="rId2"/>
    <sheet name="Bist" sheetId="5" state="hidden" r:id="rId3"/>
  </sheets>
  <definedNames>
    <definedName name="DışVeri_1" localSheetId="1" hidden="1">analiz!$C$26:$F$31</definedName>
    <definedName name="DışVeri_1" localSheetId="2" hidden="1">Bist!$A$1:$J$592</definedName>
    <definedName name="DışVeri_2" localSheetId="1" hidden="1">analiz!$C$34:$F$39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4" l="1"/>
  <c r="G8" i="4" s="1"/>
  <c r="B2" i="4" l="1"/>
  <c r="G2" i="4" l="1"/>
  <c r="D6" i="4" l="1"/>
  <c r="E6" i="4"/>
  <c r="F6" i="4"/>
  <c r="C6" i="4"/>
  <c r="G6" i="4" s="1"/>
  <c r="C21" i="4"/>
  <c r="G21" i="4" s="1"/>
  <c r="D23" i="4"/>
  <c r="E23" i="4"/>
  <c r="F23" i="4"/>
  <c r="C23" i="4"/>
  <c r="G23" i="4" s="1"/>
  <c r="D22" i="4"/>
  <c r="E22" i="4"/>
  <c r="F22" i="4"/>
  <c r="C22" i="4"/>
  <c r="G22" i="4" s="1"/>
  <c r="D20" i="4"/>
  <c r="E20" i="4"/>
  <c r="F20" i="4"/>
  <c r="C20" i="4"/>
  <c r="G19" i="4" s="1"/>
  <c r="C12" i="4"/>
  <c r="G11" i="4" s="1"/>
  <c r="D21" i="4"/>
  <c r="E21" i="4"/>
  <c r="F21" i="4"/>
  <c r="D17" i="4"/>
  <c r="E17" i="4"/>
  <c r="F17" i="4"/>
  <c r="C17" i="4"/>
  <c r="G17" i="4" s="1"/>
  <c r="D16" i="4"/>
  <c r="E16" i="4"/>
  <c r="F16" i="4"/>
  <c r="C16" i="4"/>
  <c r="G16" i="4" s="1"/>
  <c r="D15" i="4"/>
  <c r="E15" i="4"/>
  <c r="F15" i="4"/>
  <c r="C15" i="4"/>
  <c r="G15" i="4" s="1"/>
  <c r="C14" i="4"/>
  <c r="G14" i="4" s="1"/>
  <c r="D14" i="4"/>
  <c r="E14" i="4"/>
  <c r="F14" i="4"/>
  <c r="D13" i="4"/>
  <c r="E13" i="4"/>
  <c r="F13" i="4"/>
  <c r="C13" i="4"/>
  <c r="G13" i="4" s="1"/>
  <c r="D12" i="4"/>
  <c r="E12" i="4"/>
  <c r="F12" i="4"/>
  <c r="D8" i="4"/>
  <c r="E8" i="4"/>
  <c r="F8" i="4"/>
  <c r="D7" i="4"/>
  <c r="E7" i="4"/>
  <c r="F7" i="4"/>
  <c r="C7" i="4"/>
  <c r="G7" i="4" s="1"/>
  <c r="D4" i="4" l="1"/>
  <c r="E4" i="4"/>
  <c r="F4" i="4"/>
  <c r="C4" i="4"/>
  <c r="G3" i="4" s="1"/>
  <c r="C5" i="4" l="1"/>
  <c r="G5" i="4" s="1"/>
  <c r="E5" i="4"/>
  <c r="D5" i="4"/>
  <c r="F5" i="4"/>
</calcChain>
</file>

<file path=xl/comments1.xml><?xml version="1.0" encoding="utf-8"?>
<comments xmlns="http://schemas.openxmlformats.org/spreadsheetml/2006/main">
  <authors>
    <author>Yazar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162"/>
          </rPr>
          <t>Mali tablosunu eklediğiniz şirketin hisse kodunu buraya yazın. Bu sayede altındaki hücreye anlık lot tutarı gelecek.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  <charset val="162"/>
          </rPr>
          <t>Pdf çıktısında hangi şirketin verisi olduğunu anlamanız için buraya şirket ismini yazın.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  <charset val="162"/>
          </rPr>
          <t xml:space="preserve">Likidite oranları, bir işletmenin kısa vadeli borcunu vadesinde ödeyip ödeyemeyeceğini gösterir. 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  <charset val="162"/>
          </rPr>
          <t>İşletme sermayesinin yeterliliği bakımından 2’nin üzerinde olması tercih edilir.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  <charset val="162"/>
          </rPr>
          <t>İşletmenin kısa vadeli borçlarını ödeyebileceğini göstermesi için 1’in üzerinde olması beklenir.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  <charset val="162"/>
          </rPr>
          <t>İşletmeye yıl boyu hiç nakit akışı olmaması durumunda mevcut sermaye kullanılarak kısa vadeli borçların ödenip ödenemeyeceğini gösterir.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  <charset val="162"/>
          </rPr>
          <t>Stok bağımlılık oranı, kısa vadeli borçların ödenebilmesi için mevcut stoğun yüzde kaçının satışının yapılması gerektiğini gösterir.</t>
        </r>
      </text>
    </comment>
    <comment ref="G8" authorId="0" shapeId="0">
      <text>
        <r>
          <rPr>
            <b/>
            <sz val="9"/>
            <color indexed="81"/>
            <rFont val="Tahoma"/>
            <family val="2"/>
            <charset val="162"/>
          </rPr>
          <t>Asit-Test oranı 1 in altında ise işletme mevcut likit varlıkları ile kısa vadeli borçlarını ödeyemez, bu durumda stok bağımlılık oranı kullanılarak ne kadar stok satışı gerektiği analiz edilebilir.
Asit Test Oranının 1 den büyük olduğu durumlarda stok bağımlılık oranının hesaplanmasına gerek yoktur.</t>
        </r>
      </text>
    </comment>
    <comment ref="B13" authorId="0" shapeId="0">
      <text>
        <r>
          <rPr>
            <b/>
            <sz val="9"/>
            <color indexed="81"/>
            <rFont val="Tahoma"/>
            <family val="2"/>
            <charset val="162"/>
          </rPr>
          <t>İşletme sermayesinin yüzde kaçının borçlanma kaynaklı olduğunu gösteren bu değerin mali riske işaret etmemesi için %50’nin altında olması beklenir.</t>
        </r>
      </text>
    </comment>
    <comment ref="B14" authorId="0" shapeId="0">
      <text>
        <r>
          <rPr>
            <b/>
            <sz val="9"/>
            <color indexed="81"/>
            <rFont val="Tahoma"/>
            <family val="2"/>
            <charset val="162"/>
          </rPr>
          <t xml:space="preserve">Finansman oranı olarak da bilinen bu değerin %1’in üstünde olması beklenir. Bu değerin %1’in üstünde olması, işletmenin sermaye bakımından borçlanmaya ihtiyaç duymadığını gösterir. </t>
        </r>
      </text>
    </comment>
    <comment ref="B15" authorId="0" shapeId="0">
      <text>
        <r>
          <rPr>
            <b/>
            <sz val="9"/>
            <color indexed="81"/>
            <rFont val="Tahoma"/>
            <family val="2"/>
            <charset val="162"/>
          </rPr>
          <t>işletmenin elde ettiği kârdan öz sermaye oluşturmasını ifade eder</t>
        </r>
        <r>
          <rPr>
            <sz val="9"/>
            <color indexed="81"/>
            <rFont val="Tahoma"/>
            <family val="2"/>
            <charset val="162"/>
          </rPr>
          <t xml:space="preserve">
</t>
        </r>
      </text>
    </comment>
    <comment ref="B16" authorId="0" shapeId="0">
      <text>
        <r>
          <rPr>
            <b/>
            <sz val="9"/>
            <color indexed="81"/>
            <rFont val="Tahoma"/>
            <family val="2"/>
            <charset val="162"/>
          </rPr>
          <t>İşletme sermayesinin hangi oranda kısa vadeli borçlarla karşılandığını gösterir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  <charset val="162"/>
          </rPr>
          <t>Firma sermayesinin hangi oranda uzun vadeli borçlardan oluştuğunu gösterir</t>
        </r>
      </text>
    </comment>
    <comment ref="B21" authorId="0" shapeId="0">
      <text>
        <r>
          <rPr>
            <b/>
            <sz val="9"/>
            <color indexed="81"/>
            <rFont val="Tahoma"/>
            <family val="2"/>
            <charset val="162"/>
          </rPr>
          <t>bu oranın yüksek olması, işletme sermayesinin etkin kullanımını gösterir.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  <charset val="162"/>
          </rPr>
          <t>Yüksek olması beklenen bu oran, işletmenin yaptığı yatırımlardan sağladığı kârın boyutunu gösterir.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  <charset val="162"/>
          </rPr>
          <t xml:space="preserve">yüksek bir oran, işletme hisse senedi değerinin yüksek olduğuna işaret eder.
</t>
        </r>
      </text>
    </comment>
  </commentList>
</comments>
</file>

<file path=xl/connections.xml><?xml version="1.0" encoding="utf-8"?>
<connections xmlns="http://schemas.openxmlformats.org/spreadsheetml/2006/main">
  <connection id="1" keepAlive="1" interval="2" name="Sorgu - Table 0" description="Çalışma kitabındaki 'Table 0' sorgusuna yönelik bağlantı." type="5" refreshedVersion="6" background="1" refreshOnLoad="1" saveData="1">
    <dbPr connection="Provider=Microsoft.Mashup.OleDb.1;Data Source=$Workbook$;Location=Table 0;Extended Properties=&quot;&quot;" command="SELECT * FROM [Table 0]"/>
  </connection>
  <connection id="2" keepAlive="1" interval="5" name="Sorgu - Table 2 (2)" description="Çalışma kitabındaki 'Table 2 (2)' sorgusuna yönelik bağlantı." type="5" refreshedVersion="6" background="1" refreshOnLoad="1" saveData="1">
    <dbPr connection="Provider=Microsoft.Mashup.OleDb.1;Data Source=$Workbook$;Location=Table 2 (2);Extended Properties=&quot;&quot;" command="SELECT * FROM [Table 2 (2)]"/>
  </connection>
  <connection id="3" keepAlive="1" interval="5" name="Sorgu - Table 3 (2)" description="Çalışma kitabındaki 'Table 3 (2)' sorgusuna yönelik bağlantı." type="5" refreshedVersion="6" background="1" refreshOnLoad="1" saveData="1">
    <dbPr connection="Provider=Microsoft.Mashup.OleDb.1;Data Source=$Workbook$;Location=Table 3 (2);Extended Properties=&quot;&quot;" command="SELECT * FROM [Table 3 (2)]"/>
  </connection>
</connections>
</file>

<file path=xl/sharedStrings.xml><?xml version="1.0" encoding="utf-8"?>
<sst xmlns="http://schemas.openxmlformats.org/spreadsheetml/2006/main" count="1835" uniqueCount="1674">
  <si>
    <t>2025/3</t>
  </si>
  <si>
    <t>2024/12</t>
  </si>
  <si>
    <t>2024/9</t>
  </si>
  <si>
    <t>2024/6</t>
  </si>
  <si>
    <t>Cari Oran</t>
  </si>
  <si>
    <t>Asit-Test Oranı</t>
  </si>
  <si>
    <t>Nakit Oranı</t>
  </si>
  <si>
    <t>Stok Bağımlılık Oranı</t>
  </si>
  <si>
    <t>Sütun1</t>
  </si>
  <si>
    <t>Mali (Finansal) Yapı Oranları</t>
  </si>
  <si>
    <t>Kaldıraç Oranı</t>
  </si>
  <si>
    <t>Öz Kaynaklar Oranı</t>
  </si>
  <si>
    <t>Otofinansman Oranı</t>
  </si>
  <si>
    <t>Kısa Vadeli Borç Oranı</t>
  </si>
  <si>
    <t>Uzun Vadeli Borç Oranı</t>
  </si>
  <si>
    <t>Kârlılık Oranları</t>
  </si>
  <si>
    <t>Ekonomik Rantabilite</t>
  </si>
  <si>
    <t xml:space="preserve">Aktif Kârlılık </t>
  </si>
  <si>
    <t xml:space="preserve">Hisse Başına Getiri </t>
  </si>
  <si>
    <t xml:space="preserve">Likidite Oranları </t>
  </si>
  <si>
    <t>Hisse</t>
  </si>
  <si>
    <t>Son</t>
  </si>
  <si>
    <t>Alış</t>
  </si>
  <si>
    <t>Satış</t>
  </si>
  <si>
    <t>Fark</t>
  </si>
  <si>
    <t>En Düşük</t>
  </si>
  <si>
    <t>En Yüksek</t>
  </si>
  <si>
    <t>AOF</t>
  </si>
  <si>
    <t>Hacim TL</t>
  </si>
  <si>
    <t>Hacim Lot</t>
  </si>
  <si>
    <t>A1CAP</t>
  </si>
  <si>
    <t>A1YEN</t>
  </si>
  <si>
    <t>ACSEL</t>
  </si>
  <si>
    <t>ADEL</t>
  </si>
  <si>
    <t>ADESE</t>
  </si>
  <si>
    <t>ADGYO</t>
  </si>
  <si>
    <t>AEFES</t>
  </si>
  <si>
    <t>AFYON</t>
  </si>
  <si>
    <t>AGESA</t>
  </si>
  <si>
    <t>AGHOL</t>
  </si>
  <si>
    <t>AGROT</t>
  </si>
  <si>
    <t>AGYO</t>
  </si>
  <si>
    <t>AHGAZ</t>
  </si>
  <si>
    <t>AHSGY</t>
  </si>
  <si>
    <t>AKBNK</t>
  </si>
  <si>
    <t>AKCNS</t>
  </si>
  <si>
    <t>AKENR</t>
  </si>
  <si>
    <t>AKFGY</t>
  </si>
  <si>
    <t>AKFIS</t>
  </si>
  <si>
    <t>AKFYE</t>
  </si>
  <si>
    <t>AKGRT</t>
  </si>
  <si>
    <t>AKMGY</t>
  </si>
  <si>
    <t>AKSA</t>
  </si>
  <si>
    <t>AKSEN</t>
  </si>
  <si>
    <t>AKSGY</t>
  </si>
  <si>
    <t>AKSUE</t>
  </si>
  <si>
    <t>AKYHO</t>
  </si>
  <si>
    <t>ALARK</t>
  </si>
  <si>
    <t>ALBRK</t>
  </si>
  <si>
    <t>ALCAR</t>
  </si>
  <si>
    <t>ALCTL</t>
  </si>
  <si>
    <t>ALFAS</t>
  </si>
  <si>
    <t>ALGYO</t>
  </si>
  <si>
    <t>ALKA</t>
  </si>
  <si>
    <t>ALKIM</t>
  </si>
  <si>
    <t>ALKLC</t>
  </si>
  <si>
    <t>ALTINS1</t>
  </si>
  <si>
    <t>ALTNY</t>
  </si>
  <si>
    <t>ALVES</t>
  </si>
  <si>
    <t>ANELE</t>
  </si>
  <si>
    <t>ANGEN</t>
  </si>
  <si>
    <t>ANHYT</t>
  </si>
  <si>
    <t>ANSGR</t>
  </si>
  <si>
    <t>ARASE</t>
  </si>
  <si>
    <t>ARCLK</t>
  </si>
  <si>
    <t>ARDYZ</t>
  </si>
  <si>
    <t>ARENA</t>
  </si>
  <si>
    <t>ARMGD</t>
  </si>
  <si>
    <t>ARSAN</t>
  </si>
  <si>
    <t>ARTMS</t>
  </si>
  <si>
    <t>ARZUM</t>
  </si>
  <si>
    <t>ASELS</t>
  </si>
  <si>
    <t>ASGYO</t>
  </si>
  <si>
    <t>ASTOR</t>
  </si>
  <si>
    <t>ASUZU</t>
  </si>
  <si>
    <t>ATAGY</t>
  </si>
  <si>
    <t>ATAKP</t>
  </si>
  <si>
    <t>ATATP</t>
  </si>
  <si>
    <t>ATEKS</t>
  </si>
  <si>
    <t>-</t>
  </si>
  <si>
    <t>ATLAS</t>
  </si>
  <si>
    <t>ATSYH</t>
  </si>
  <si>
    <t>AVGYO</t>
  </si>
  <si>
    <t>AVHOL</t>
  </si>
  <si>
    <t>AVOD</t>
  </si>
  <si>
    <t>AVPGY</t>
  </si>
  <si>
    <t>AVTUR</t>
  </si>
  <si>
    <t>AYCES</t>
  </si>
  <si>
    <t>AYDEM</t>
  </si>
  <si>
    <t>AYEN</t>
  </si>
  <si>
    <t>AYES</t>
  </si>
  <si>
    <t>AYGAZ</t>
  </si>
  <si>
    <t>AZTEK</t>
  </si>
  <si>
    <t>BAGFS</t>
  </si>
  <si>
    <t>BAHKM</t>
  </si>
  <si>
    <t>BAKAB</t>
  </si>
  <si>
    <t>BALAT</t>
  </si>
  <si>
    <t>BALSU</t>
  </si>
  <si>
    <t>BANVT</t>
  </si>
  <si>
    <t>BARMA</t>
  </si>
  <si>
    <t>BASCM</t>
  </si>
  <si>
    <t>BASGZ</t>
  </si>
  <si>
    <t>BAYRK</t>
  </si>
  <si>
    <t>BEGYO</t>
  </si>
  <si>
    <t>BERA</t>
  </si>
  <si>
    <t>BEYAZ</t>
  </si>
  <si>
    <t>BFREN</t>
  </si>
  <si>
    <t>BIENY</t>
  </si>
  <si>
    <t>BIGCH</t>
  </si>
  <si>
    <t>BIGEN</t>
  </si>
  <si>
    <t>BIMAS</t>
  </si>
  <si>
    <t>BINBN</t>
  </si>
  <si>
    <t>BINHO</t>
  </si>
  <si>
    <t>BIOEN</t>
  </si>
  <si>
    <t>BIZIM</t>
  </si>
  <si>
    <t>BJKAS</t>
  </si>
  <si>
    <t>1,74</t>
  </si>
  <si>
    <t>BLCYT</t>
  </si>
  <si>
    <t>BMSCH</t>
  </si>
  <si>
    <t>BMSTL</t>
  </si>
  <si>
    <t>BNTAS</t>
  </si>
  <si>
    <t>BOBET</t>
  </si>
  <si>
    <t>BORLS</t>
  </si>
  <si>
    <t>BORSK</t>
  </si>
  <si>
    <t>BOSSA</t>
  </si>
  <si>
    <t>BRISA</t>
  </si>
  <si>
    <t>BRKO</t>
  </si>
  <si>
    <t>BRKSN</t>
  </si>
  <si>
    <t>BRKVY</t>
  </si>
  <si>
    <t>BRLSM</t>
  </si>
  <si>
    <t>BRMEN</t>
  </si>
  <si>
    <t>BRSAN</t>
  </si>
  <si>
    <t>BRYAT</t>
  </si>
  <si>
    <t>BSOKE</t>
  </si>
  <si>
    <t>BTCIM</t>
  </si>
  <si>
    <t>BUCIM</t>
  </si>
  <si>
    <t>BULGS</t>
  </si>
  <si>
    <t>BURCE</t>
  </si>
  <si>
    <t>BURVA</t>
  </si>
  <si>
    <t>BVSAN</t>
  </si>
  <si>
    <t>BYDNR</t>
  </si>
  <si>
    <t>CANTE</t>
  </si>
  <si>
    <t>CASA</t>
  </si>
  <si>
    <t>CATES</t>
  </si>
  <si>
    <t>CCOLA</t>
  </si>
  <si>
    <t>CELHA</t>
  </si>
  <si>
    <t>CEMAS</t>
  </si>
  <si>
    <t>CEMTS</t>
  </si>
  <si>
    <t>CEMZY</t>
  </si>
  <si>
    <t>CEOEM</t>
  </si>
  <si>
    <t>CGCAM</t>
  </si>
  <si>
    <t>CIMSA</t>
  </si>
  <si>
    <t>CLEBI</t>
  </si>
  <si>
    <t>CMBTN</t>
  </si>
  <si>
    <t>CMENT</t>
  </si>
  <si>
    <t>CONSE</t>
  </si>
  <si>
    <t>COSMO</t>
  </si>
  <si>
    <t>CRDFA</t>
  </si>
  <si>
    <t>CRFSA</t>
  </si>
  <si>
    <t>CUSAN</t>
  </si>
  <si>
    <t>CVKMD</t>
  </si>
  <si>
    <t>CWENE</t>
  </si>
  <si>
    <t>DAGHL</t>
  </si>
  <si>
    <t>DAGI</t>
  </si>
  <si>
    <t>DAPGM</t>
  </si>
  <si>
    <t>DARDL</t>
  </si>
  <si>
    <t>DCTTR</t>
  </si>
  <si>
    <t>DENGE</t>
  </si>
  <si>
    <t>DERHL</t>
  </si>
  <si>
    <t>DERIM</t>
  </si>
  <si>
    <t>DESA</t>
  </si>
  <si>
    <t>DESPC</t>
  </si>
  <si>
    <t>DEVA</t>
  </si>
  <si>
    <t>DGATE</t>
  </si>
  <si>
    <t>DGGYO</t>
  </si>
  <si>
    <t>DGNMO</t>
  </si>
  <si>
    <t>DIRIT</t>
  </si>
  <si>
    <t>DITAS</t>
  </si>
  <si>
    <t>DMRGD</t>
  </si>
  <si>
    <t>DMSAS</t>
  </si>
  <si>
    <t>DNISI</t>
  </si>
  <si>
    <t>DOAS</t>
  </si>
  <si>
    <t>DOBUR</t>
  </si>
  <si>
    <t>DOCO</t>
  </si>
  <si>
    <t>DOFER</t>
  </si>
  <si>
    <t>DOGUB</t>
  </si>
  <si>
    <t>DOHOL</t>
  </si>
  <si>
    <t>DOKTA</t>
  </si>
  <si>
    <t>DSTKF</t>
  </si>
  <si>
    <t>DURDO</t>
  </si>
  <si>
    <t>DURKN</t>
  </si>
  <si>
    <t>DYOBY</t>
  </si>
  <si>
    <t>DZGYO</t>
  </si>
  <si>
    <t>EBEBK</t>
  </si>
  <si>
    <t>ECILC</t>
  </si>
  <si>
    <t>ECZYT</t>
  </si>
  <si>
    <t>EDATA</t>
  </si>
  <si>
    <t>EDIP</t>
  </si>
  <si>
    <t>EFORC</t>
  </si>
  <si>
    <t>EGEEN</t>
  </si>
  <si>
    <t>EGEGY</t>
  </si>
  <si>
    <t>EGEPO</t>
  </si>
  <si>
    <t>EGGUB</t>
  </si>
  <si>
    <t>EGPRO</t>
  </si>
  <si>
    <t>EGSER</t>
  </si>
  <si>
    <t>EKGYO</t>
  </si>
  <si>
    <t>EKIZ</t>
  </si>
  <si>
    <t>EKOS</t>
  </si>
  <si>
    <t>EKSUN</t>
  </si>
  <si>
    <t>5,22</t>
  </si>
  <si>
    <t>ELITE</t>
  </si>
  <si>
    <t>EMKEL</t>
  </si>
  <si>
    <t>EMNIS</t>
  </si>
  <si>
    <t>ENDAE</t>
  </si>
  <si>
    <t>ENERY</t>
  </si>
  <si>
    <t>ENJSA</t>
  </si>
  <si>
    <t>ENKAI</t>
  </si>
  <si>
    <t>ENSRI</t>
  </si>
  <si>
    <t>ENTRA</t>
  </si>
  <si>
    <t>EPLAS</t>
  </si>
  <si>
    <t>ERBOS</t>
  </si>
  <si>
    <t>ERCB</t>
  </si>
  <si>
    <t>EREGL</t>
  </si>
  <si>
    <t>ERSU</t>
  </si>
  <si>
    <t>ESCAR</t>
  </si>
  <si>
    <t>ESCOM</t>
  </si>
  <si>
    <t>ESEN</t>
  </si>
  <si>
    <t>ETILR</t>
  </si>
  <si>
    <t>ETYAT</t>
  </si>
  <si>
    <t>EUHOL</t>
  </si>
  <si>
    <t>EUKYO</t>
  </si>
  <si>
    <t>EUPWR</t>
  </si>
  <si>
    <t>EUREN</t>
  </si>
  <si>
    <t>EUYO</t>
  </si>
  <si>
    <t>EYGYO</t>
  </si>
  <si>
    <t>FADE</t>
  </si>
  <si>
    <t>FENER</t>
  </si>
  <si>
    <t>FLAP</t>
  </si>
  <si>
    <t>FMIZP</t>
  </si>
  <si>
    <t>FONET</t>
  </si>
  <si>
    <t>FORMT</t>
  </si>
  <si>
    <t>FORTE</t>
  </si>
  <si>
    <t>FRIGO</t>
  </si>
  <si>
    <t>FROTO</t>
  </si>
  <si>
    <t>FZLGY</t>
  </si>
  <si>
    <t>GARAN</t>
  </si>
  <si>
    <t>GARFA</t>
  </si>
  <si>
    <t>GEDIK</t>
  </si>
  <si>
    <t>GEDZA</t>
  </si>
  <si>
    <t>GENIL</t>
  </si>
  <si>
    <t>GENTS</t>
  </si>
  <si>
    <t>GEREL</t>
  </si>
  <si>
    <t>GESAN</t>
  </si>
  <si>
    <t>GIPTA</t>
  </si>
  <si>
    <t>GLBMD</t>
  </si>
  <si>
    <t>GLCVY</t>
  </si>
  <si>
    <t>GLRMK</t>
  </si>
  <si>
    <t>GLRYH</t>
  </si>
  <si>
    <t>GLYHO</t>
  </si>
  <si>
    <t>GMTAS</t>
  </si>
  <si>
    <t>GOKNR</t>
  </si>
  <si>
    <t>GOLTS</t>
  </si>
  <si>
    <t>GOODY</t>
  </si>
  <si>
    <t>GOZDE</t>
  </si>
  <si>
    <t>GRNYO</t>
  </si>
  <si>
    <t>GRSEL</t>
  </si>
  <si>
    <t>GRTHO</t>
  </si>
  <si>
    <t>GSDDE</t>
  </si>
  <si>
    <t>GSDHO</t>
  </si>
  <si>
    <t>GSRAY</t>
  </si>
  <si>
    <t>GUBRF</t>
  </si>
  <si>
    <t>GUNDG</t>
  </si>
  <si>
    <t>GWIND</t>
  </si>
  <si>
    <t>GZNMI</t>
  </si>
  <si>
    <t>HALKB</t>
  </si>
  <si>
    <t>HATEK</t>
  </si>
  <si>
    <t>HATSN</t>
  </si>
  <si>
    <t>HDFGS</t>
  </si>
  <si>
    <t>HEDEF</t>
  </si>
  <si>
    <t>HEKTS</t>
  </si>
  <si>
    <t>3,03</t>
  </si>
  <si>
    <t>HKTM</t>
  </si>
  <si>
    <t>HLGYO</t>
  </si>
  <si>
    <t>HOROZ</t>
  </si>
  <si>
    <t>HRKET</t>
  </si>
  <si>
    <t>HTTBT</t>
  </si>
  <si>
    <t>HUBVC</t>
  </si>
  <si>
    <t>HUNER</t>
  </si>
  <si>
    <t>HURGZ</t>
  </si>
  <si>
    <t>ICBCT</t>
  </si>
  <si>
    <t>ICUGS</t>
  </si>
  <si>
    <t>IDGYO</t>
  </si>
  <si>
    <t>IEYHO</t>
  </si>
  <si>
    <t>IHAAS</t>
  </si>
  <si>
    <t>IHEVA</t>
  </si>
  <si>
    <t>IHGZT</t>
  </si>
  <si>
    <t>IHLAS</t>
  </si>
  <si>
    <t>IHLGM</t>
  </si>
  <si>
    <t>IHYAY</t>
  </si>
  <si>
    <t>IMASM</t>
  </si>
  <si>
    <t>INDES</t>
  </si>
  <si>
    <t>INFO</t>
  </si>
  <si>
    <t>INGRM</t>
  </si>
  <si>
    <t>INTEK</t>
  </si>
  <si>
    <t>INTEM</t>
  </si>
  <si>
    <t>INVEO</t>
  </si>
  <si>
    <t>INVES</t>
  </si>
  <si>
    <t>IPEKE</t>
  </si>
  <si>
    <t>ISATR</t>
  </si>
  <si>
    <t>ISBIR</t>
  </si>
  <si>
    <t>ISBTR</t>
  </si>
  <si>
    <t>ISCTR</t>
  </si>
  <si>
    <t>ISDMR</t>
  </si>
  <si>
    <t>ISFIN</t>
  </si>
  <si>
    <t>ISGSY</t>
  </si>
  <si>
    <t>ISGYO</t>
  </si>
  <si>
    <t>ISKPL</t>
  </si>
  <si>
    <t>ISKUR</t>
  </si>
  <si>
    <t>ISMEN</t>
  </si>
  <si>
    <t>ISSEN</t>
  </si>
  <si>
    <t>ISYAT</t>
  </si>
  <si>
    <t>IZENR</t>
  </si>
  <si>
    <t>IZFAS</t>
  </si>
  <si>
    <t>IZINV</t>
  </si>
  <si>
    <t>IZMDC</t>
  </si>
  <si>
    <t>JANTS</t>
  </si>
  <si>
    <t>KAPLM</t>
  </si>
  <si>
    <t>KAREL</t>
  </si>
  <si>
    <t>KARSN</t>
  </si>
  <si>
    <t>KARTN</t>
  </si>
  <si>
    <t>KATMR</t>
  </si>
  <si>
    <t>KAYSE</t>
  </si>
  <si>
    <t>KBORU</t>
  </si>
  <si>
    <t>KCAER</t>
  </si>
  <si>
    <t>KCHOL</t>
  </si>
  <si>
    <t>KENT</t>
  </si>
  <si>
    <t>KERVN</t>
  </si>
  <si>
    <t>KERVT</t>
  </si>
  <si>
    <t>KFEIN</t>
  </si>
  <si>
    <t>KGYO</t>
  </si>
  <si>
    <t>KIMMR</t>
  </si>
  <si>
    <t>KLGYO</t>
  </si>
  <si>
    <t>KLKIM</t>
  </si>
  <si>
    <t>KLMSN</t>
  </si>
  <si>
    <t>KLNMA</t>
  </si>
  <si>
    <t>KLRHO</t>
  </si>
  <si>
    <t>KLSER</t>
  </si>
  <si>
    <t>KLSYN</t>
  </si>
  <si>
    <t>KLYPV</t>
  </si>
  <si>
    <t>KMPUR</t>
  </si>
  <si>
    <t>KNFRT</t>
  </si>
  <si>
    <t>KOCMT</t>
  </si>
  <si>
    <t>KONKA</t>
  </si>
  <si>
    <t>KONTR</t>
  </si>
  <si>
    <t>KONYA</t>
  </si>
  <si>
    <t>KOPOL</t>
  </si>
  <si>
    <t>4,97</t>
  </si>
  <si>
    <t>KORDS</t>
  </si>
  <si>
    <t>KOTON</t>
  </si>
  <si>
    <t>KOZAA</t>
  </si>
  <si>
    <t>KOZAL</t>
  </si>
  <si>
    <t>KRDMA</t>
  </si>
  <si>
    <t>KRDMB</t>
  </si>
  <si>
    <t>KRDMD</t>
  </si>
  <si>
    <t>KRGYO</t>
  </si>
  <si>
    <t>KRONT</t>
  </si>
  <si>
    <t>KRPLS</t>
  </si>
  <si>
    <t>KRSTL</t>
  </si>
  <si>
    <t>KRTEK</t>
  </si>
  <si>
    <t>KRVGD</t>
  </si>
  <si>
    <t>KSTUR</t>
  </si>
  <si>
    <t>KTLEV</t>
  </si>
  <si>
    <t>KTSKR</t>
  </si>
  <si>
    <t>KUTPO</t>
  </si>
  <si>
    <t>KUVVA</t>
  </si>
  <si>
    <t>KUYAS</t>
  </si>
  <si>
    <t>KZBGY</t>
  </si>
  <si>
    <t>KZGYO</t>
  </si>
  <si>
    <t>LIDER</t>
  </si>
  <si>
    <t>LIDFA</t>
  </si>
  <si>
    <t>LILAK</t>
  </si>
  <si>
    <t>LINK</t>
  </si>
  <si>
    <t>LKMNH</t>
  </si>
  <si>
    <t>LMKDC</t>
  </si>
  <si>
    <t>LOGO</t>
  </si>
  <si>
    <t>LRSHO</t>
  </si>
  <si>
    <t>LUKSK</t>
  </si>
  <si>
    <t>LYDHO</t>
  </si>
  <si>
    <t>LYDYE</t>
  </si>
  <si>
    <t>MAALT</t>
  </si>
  <si>
    <t>MACKO</t>
  </si>
  <si>
    <t>MAGEN</t>
  </si>
  <si>
    <t>MAKIM</t>
  </si>
  <si>
    <t>MAKTK</t>
  </si>
  <si>
    <t>MANAS</t>
  </si>
  <si>
    <t>MARBL</t>
  </si>
  <si>
    <t>MARKA</t>
  </si>
  <si>
    <t>MARTI</t>
  </si>
  <si>
    <t>MAVI</t>
  </si>
  <si>
    <t>MEDTR</t>
  </si>
  <si>
    <t>MEGAP</t>
  </si>
  <si>
    <t>MEGMT</t>
  </si>
  <si>
    <t>MEKAG</t>
  </si>
  <si>
    <t>MEPET</t>
  </si>
  <si>
    <t>MERCN</t>
  </si>
  <si>
    <t>MERIT</t>
  </si>
  <si>
    <t>MERKO</t>
  </si>
  <si>
    <t>METRO</t>
  </si>
  <si>
    <t>METUR</t>
  </si>
  <si>
    <t>MGROS</t>
  </si>
  <si>
    <t>MHRGY</t>
  </si>
  <si>
    <t>MIATK</t>
  </si>
  <si>
    <t>MMCAS</t>
  </si>
  <si>
    <t>MNDRS</t>
  </si>
  <si>
    <t>MNDTR</t>
  </si>
  <si>
    <t>MOBTL</t>
  </si>
  <si>
    <t>MOGAN</t>
  </si>
  <si>
    <t>MOPAS</t>
  </si>
  <si>
    <t>MPARK</t>
  </si>
  <si>
    <t>MRGYO</t>
  </si>
  <si>
    <t>MRSHL</t>
  </si>
  <si>
    <t>MSGYO</t>
  </si>
  <si>
    <t>MTRKS</t>
  </si>
  <si>
    <t>MTRYO</t>
  </si>
  <si>
    <t>MZHLD</t>
  </si>
  <si>
    <t>NATEN</t>
  </si>
  <si>
    <t>NETAS</t>
  </si>
  <si>
    <t>NIBAS</t>
  </si>
  <si>
    <t>NTGAZ</t>
  </si>
  <si>
    <t>NTHOL</t>
  </si>
  <si>
    <t>NUGYO</t>
  </si>
  <si>
    <t>NUHCM</t>
  </si>
  <si>
    <t>OBAMS</t>
  </si>
  <si>
    <t>OBASE</t>
  </si>
  <si>
    <t>ODAS</t>
  </si>
  <si>
    <t>ODINE</t>
  </si>
  <si>
    <t>OFSYM</t>
  </si>
  <si>
    <t>ONCSM</t>
  </si>
  <si>
    <t>ONRYT</t>
  </si>
  <si>
    <t>ORCAY</t>
  </si>
  <si>
    <t>ORGE</t>
  </si>
  <si>
    <t>ORMA</t>
  </si>
  <si>
    <t>OSMEN</t>
  </si>
  <si>
    <t>OSTIM</t>
  </si>
  <si>
    <t>OTKAR</t>
  </si>
  <si>
    <t>OTTO</t>
  </si>
  <si>
    <t>OYAKC</t>
  </si>
  <si>
    <t>OYAYO</t>
  </si>
  <si>
    <t>OYLUM</t>
  </si>
  <si>
    <t>OYYAT</t>
  </si>
  <si>
    <t>OZATD</t>
  </si>
  <si>
    <t>OZGYO</t>
  </si>
  <si>
    <t>OZKGY</t>
  </si>
  <si>
    <t>OZRDN</t>
  </si>
  <si>
    <t>OZSUB</t>
  </si>
  <si>
    <t>OZYSR</t>
  </si>
  <si>
    <t>PAGYO</t>
  </si>
  <si>
    <t>PAMEL</t>
  </si>
  <si>
    <t>PAPIL</t>
  </si>
  <si>
    <t>PARSN</t>
  </si>
  <si>
    <t>PASEU</t>
  </si>
  <si>
    <t>PATEK</t>
  </si>
  <si>
    <t>PCILT</t>
  </si>
  <si>
    <t>PEHOL</t>
  </si>
  <si>
    <t>PEKGY</t>
  </si>
  <si>
    <t>PENGD</t>
  </si>
  <si>
    <t>PENTA</t>
  </si>
  <si>
    <t>PETKM</t>
  </si>
  <si>
    <t>PETUN</t>
  </si>
  <si>
    <t>PGSUS</t>
  </si>
  <si>
    <t>PINSU</t>
  </si>
  <si>
    <t>PKART</t>
  </si>
  <si>
    <t>PKENT</t>
  </si>
  <si>
    <t>PLTUR</t>
  </si>
  <si>
    <t>PNLSN</t>
  </si>
  <si>
    <t>PNSUT</t>
  </si>
  <si>
    <t>POLHO</t>
  </si>
  <si>
    <t>POLTK</t>
  </si>
  <si>
    <t>PRDGS</t>
  </si>
  <si>
    <t>PRKAB</t>
  </si>
  <si>
    <t>PRKME</t>
  </si>
  <si>
    <t>PRZMA</t>
  </si>
  <si>
    <t>PSDTC</t>
  </si>
  <si>
    <t>PSGYO</t>
  </si>
  <si>
    <t>QNBFK</t>
  </si>
  <si>
    <t>QNBTR</t>
  </si>
  <si>
    <t>QUAGR</t>
  </si>
  <si>
    <t>RALYH</t>
  </si>
  <si>
    <t>RAYSG</t>
  </si>
  <si>
    <t>REEDR</t>
  </si>
  <si>
    <t>RGYAS</t>
  </si>
  <si>
    <t>RNPOL</t>
  </si>
  <si>
    <t>RODRG</t>
  </si>
  <si>
    <t>ROYAL</t>
  </si>
  <si>
    <t>RTALB</t>
  </si>
  <si>
    <t>RUBNS</t>
  </si>
  <si>
    <t>RUZYE</t>
  </si>
  <si>
    <t>RYGYO</t>
  </si>
  <si>
    <t>RYSAS</t>
  </si>
  <si>
    <t>SAFKR</t>
  </si>
  <si>
    <t>SAHOL</t>
  </si>
  <si>
    <t>SAMAT</t>
  </si>
  <si>
    <t>SANEL</t>
  </si>
  <si>
    <t>SANFM</t>
  </si>
  <si>
    <t>SANKO</t>
  </si>
  <si>
    <t>SARKY</t>
  </si>
  <si>
    <t>SASA</t>
  </si>
  <si>
    <t>SAYAS</t>
  </si>
  <si>
    <t>SDTTR</t>
  </si>
  <si>
    <t>SEGMN</t>
  </si>
  <si>
    <t>SEGYO</t>
  </si>
  <si>
    <t>SEKFK</t>
  </si>
  <si>
    <t>SEKUR</t>
  </si>
  <si>
    <t>SELEC</t>
  </si>
  <si>
    <t>SELGD</t>
  </si>
  <si>
    <t>SELVA</t>
  </si>
  <si>
    <t>SERNT</t>
  </si>
  <si>
    <t>SEYKM</t>
  </si>
  <si>
    <t>SILVR</t>
  </si>
  <si>
    <t>SISE</t>
  </si>
  <si>
    <t>SKBNK</t>
  </si>
  <si>
    <t>SKTAS</t>
  </si>
  <si>
    <t>SKYLP</t>
  </si>
  <si>
    <t>SKYMD</t>
  </si>
  <si>
    <t>SMART</t>
  </si>
  <si>
    <t>SMRTG</t>
  </si>
  <si>
    <t>SMRVA</t>
  </si>
  <si>
    <t>SNGYO</t>
  </si>
  <si>
    <t>SNICA</t>
  </si>
  <si>
    <t>SNKRN</t>
  </si>
  <si>
    <t>SNPAM</t>
  </si>
  <si>
    <t>SODSN</t>
  </si>
  <si>
    <t>SOKE</t>
  </si>
  <si>
    <t>SOKM</t>
  </si>
  <si>
    <t>SONME</t>
  </si>
  <si>
    <t>SRVGY</t>
  </si>
  <si>
    <t>SUMAS</t>
  </si>
  <si>
    <t>SUNTK</t>
  </si>
  <si>
    <t>SURGY</t>
  </si>
  <si>
    <t>SUWEN</t>
  </si>
  <si>
    <t>TABGD</t>
  </si>
  <si>
    <t>TARKM</t>
  </si>
  <si>
    <t>TATEN</t>
  </si>
  <si>
    <t>TATGD</t>
  </si>
  <si>
    <t>TAVHL</t>
  </si>
  <si>
    <t>TBORG</t>
  </si>
  <si>
    <t>TCELL</t>
  </si>
  <si>
    <t>TCKRC</t>
  </si>
  <si>
    <t>TDGYO</t>
  </si>
  <si>
    <t>TEKTU</t>
  </si>
  <si>
    <t>TERA</t>
  </si>
  <si>
    <t>TEZOL</t>
  </si>
  <si>
    <t>TGSAS</t>
  </si>
  <si>
    <t>THYAO</t>
  </si>
  <si>
    <t>TKFEN</t>
  </si>
  <si>
    <t>TKNSA</t>
  </si>
  <si>
    <t>TLMAN</t>
  </si>
  <si>
    <t>TMPOL</t>
  </si>
  <si>
    <t>TMSN</t>
  </si>
  <si>
    <t>TNZTP</t>
  </si>
  <si>
    <t>TOASO</t>
  </si>
  <si>
    <t>TRCAS</t>
  </si>
  <si>
    <t>TRGYO</t>
  </si>
  <si>
    <t>TRILC</t>
  </si>
  <si>
    <t>TSGYO</t>
  </si>
  <si>
    <t>TSKB</t>
  </si>
  <si>
    <t>TSPOR</t>
  </si>
  <si>
    <t>0,74</t>
  </si>
  <si>
    <t>TTKOM</t>
  </si>
  <si>
    <t>TTRAK</t>
  </si>
  <si>
    <t>TUCLK</t>
  </si>
  <si>
    <t>TUKAS</t>
  </si>
  <si>
    <t>TUPRS</t>
  </si>
  <si>
    <t>TUREX</t>
  </si>
  <si>
    <t>TURGG</t>
  </si>
  <si>
    <t>TURSG</t>
  </si>
  <si>
    <t>UFUK</t>
  </si>
  <si>
    <t>ULAS</t>
  </si>
  <si>
    <t>ULKER</t>
  </si>
  <si>
    <t>ULUFA</t>
  </si>
  <si>
    <t>ULUSE</t>
  </si>
  <si>
    <t>ULUUN</t>
  </si>
  <si>
    <t>UMPAS</t>
  </si>
  <si>
    <t>UNLU</t>
  </si>
  <si>
    <t>USAK</t>
  </si>
  <si>
    <t>VAKBN</t>
  </si>
  <si>
    <t>VAKFN</t>
  </si>
  <si>
    <t>VAKKO</t>
  </si>
  <si>
    <t>VANGD</t>
  </si>
  <si>
    <t>VBTYZ</t>
  </si>
  <si>
    <t>VERTU</t>
  </si>
  <si>
    <t>VERUS</t>
  </si>
  <si>
    <t>VESBE</t>
  </si>
  <si>
    <t>VESTL</t>
  </si>
  <si>
    <t>VKFYO</t>
  </si>
  <si>
    <t>VKGYO</t>
  </si>
  <si>
    <t>VKING</t>
  </si>
  <si>
    <t>VRGYO</t>
  </si>
  <si>
    <t>VSNMD</t>
  </si>
  <si>
    <t>YAPRK</t>
  </si>
  <si>
    <t>YATAS</t>
  </si>
  <si>
    <t>YAYLA</t>
  </si>
  <si>
    <t>YBTAS</t>
  </si>
  <si>
    <t>YEOTK</t>
  </si>
  <si>
    <t>YESIL</t>
  </si>
  <si>
    <t>YGGYO</t>
  </si>
  <si>
    <t>YGYO</t>
  </si>
  <si>
    <t>YIGIT</t>
  </si>
  <si>
    <t>YKBNK</t>
  </si>
  <si>
    <t>YKSLN</t>
  </si>
  <si>
    <t>YONGA</t>
  </si>
  <si>
    <t>YUNSA</t>
  </si>
  <si>
    <t>YYAPI</t>
  </si>
  <si>
    <t>YYLGD</t>
  </si>
  <si>
    <t>ZEDUR</t>
  </si>
  <si>
    <t>ZOREN</t>
  </si>
  <si>
    <t>ZRGYO</t>
  </si>
  <si>
    <t>1,69</t>
  </si>
  <si>
    <t>4,84</t>
  </si>
  <si>
    <t>1,79</t>
  </si>
  <si>
    <t>6,65</t>
  </si>
  <si>
    <t>6,21</t>
  </si>
  <si>
    <t>4,76</t>
  </si>
  <si>
    <t>3,08</t>
  </si>
  <si>
    <t>Net</t>
  </si>
  <si>
    <t>%</t>
  </si>
  <si>
    <t>Column1</t>
  </si>
  <si>
    <t>2,29</t>
  </si>
  <si>
    <t>1,88</t>
  </si>
  <si>
    <t>🔼</t>
  </si>
  <si>
    <t>4,75</t>
  </si>
  <si>
    <t>🔻</t>
  </si>
  <si>
    <t>EN FAZLA AZALAN 5 HİSSE</t>
  </si>
  <si>
    <t>EN ÇOK ARTAN 5 HİSSE</t>
  </si>
  <si>
    <t>7,04</t>
  </si>
  <si>
    <t>5,52</t>
  </si>
  <si>
    <t>6,19</t>
  </si>
  <si>
    <t>16,00</t>
  </si>
  <si>
    <t>24,10</t>
  </si>
  <si>
    <t>3,10</t>
  </si>
  <si>
    <t>2,32</t>
  </si>
  <si>
    <t>7,57</t>
  </si>
  <si>
    <t>2,84</t>
  </si>
  <si>
    <t>5,14</t>
  </si>
  <si>
    <t>73,50</t>
  </si>
  <si>
    <t>23,80</t>
  </si>
  <si>
    <t>139,50</t>
  </si>
  <si>
    <t>16,94</t>
  </si>
  <si>
    <t>HİSSE KODU</t>
  </si>
  <si>
    <t>İSİM</t>
  </si>
  <si>
    <t>8,72</t>
  </si>
  <si>
    <t>3,09</t>
  </si>
  <si>
    <t>38,12</t>
  </si>
  <si>
    <t>4,95</t>
  </si>
  <si>
    <t>4,88</t>
  </si>
  <si>
    <t>23,46</t>
  </si>
  <si>
    <t>26,40</t>
  </si>
  <si>
    <t>7,72</t>
  </si>
  <si>
    <t>29,62</t>
  </si>
  <si>
    <t>8,69</t>
  </si>
  <si>
    <t>2,74</t>
  </si>
  <si>
    <t>7,26</t>
  </si>
  <si>
    <t>20,56</t>
  </si>
  <si>
    <t>76,25</t>
  </si>
  <si>
    <t>5,74</t>
  </si>
  <si>
    <t>5,75</t>
  </si>
  <si>
    <t>6,51</t>
  </si>
  <si>
    <t>35,20</t>
  </si>
  <si>
    <t>5,61</t>
  </si>
  <si>
    <t>8,40</t>
  </si>
  <si>
    <t>1,80</t>
  </si>
  <si>
    <t>38,10</t>
  </si>
  <si>
    <t>75,00</t>
  </si>
  <si>
    <t>6,24</t>
  </si>
  <si>
    <t>63,40</t>
  </si>
  <si>
    <t>23,26</t>
  </si>
  <si>
    <t>19,55</t>
  </si>
  <si>
    <t>4,89</t>
  </si>
  <si>
    <t>7,44</t>
  </si>
  <si>
    <t>78,90</t>
  </si>
  <si>
    <t>7,24</t>
  </si>
  <si>
    <t>75,05</t>
  </si>
  <si>
    <t>5,82</t>
  </si>
  <si>
    <t>6,41</t>
  </si>
  <si>
    <t>8,74</t>
  </si>
  <si>
    <t>6,18</t>
  </si>
  <si>
    <t>28,02</t>
  </si>
  <si>
    <t>28,06</t>
  </si>
  <si>
    <t>7,49</t>
  </si>
  <si>
    <t>23,72</t>
  </si>
  <si>
    <t>146,20</t>
  </si>
  <si>
    <t>10,41</t>
  </si>
  <si>
    <t>10,43</t>
  </si>
  <si>
    <t>2,05</t>
  </si>
  <si>
    <t>2,06</t>
  </si>
  <si>
    <t>5,83</t>
  </si>
  <si>
    <t>16,07</t>
  </si>
  <si>
    <t>10,56</t>
  </si>
  <si>
    <t>46,62</t>
  </si>
  <si>
    <t>46,64</t>
  </si>
  <si>
    <t>34,48</t>
  </si>
  <si>
    <t>34,52</t>
  </si>
  <si>
    <t>19,72</t>
  </si>
  <si>
    <t>10,39</t>
  </si>
  <si>
    <t>93,10</t>
  </si>
  <si>
    <t>8,71</t>
  </si>
  <si>
    <t>10,44</t>
  </si>
  <si>
    <t>401,25</t>
  </si>
  <si>
    <t>125,00</t>
  </si>
  <si>
    <t>38,50</t>
  </si>
  <si>
    <t>38,52</t>
  </si>
  <si>
    <t>18,92</t>
  </si>
  <si>
    <t>7,70</t>
  </si>
  <si>
    <t>14,17</t>
  </si>
  <si>
    <t>170,00</t>
  </si>
  <si>
    <t>34,06</t>
  </si>
  <si>
    <t>11,30</t>
  </si>
  <si>
    <t>20,00</t>
  </si>
  <si>
    <t>23,52</t>
  </si>
  <si>
    <t>15,84</t>
  </si>
  <si>
    <t>6,45</t>
  </si>
  <si>
    <t>6,47</t>
  </si>
  <si>
    <t>100,50</t>
  </si>
  <si>
    <t>72,45</t>
  </si>
  <si>
    <t>7,07</t>
  </si>
  <si>
    <t>7,08</t>
  </si>
  <si>
    <t>104,20</t>
  </si>
  <si>
    <t>88,85</t>
  </si>
  <si>
    <t>1,54</t>
  </si>
  <si>
    <t>28,00</t>
  </si>
  <si>
    <t>25,46</t>
  </si>
  <si>
    <t>25,48</t>
  </si>
  <si>
    <t>1.796,00</t>
  </si>
  <si>
    <t>102,00</t>
  </si>
  <si>
    <t>11,22</t>
  </si>
  <si>
    <t>19,31</t>
  </si>
  <si>
    <t>11,64</t>
  </si>
  <si>
    <t>96,90</t>
  </si>
  <si>
    <t>1,68</t>
  </si>
  <si>
    <t>1,93</t>
  </si>
  <si>
    <t>53,10</t>
  </si>
  <si>
    <t>38,42</t>
  </si>
  <si>
    <t>9,30</t>
  </si>
  <si>
    <t>55,00</t>
  </si>
  <si>
    <t>68,40</t>
  </si>
  <si>
    <t>6,20</t>
  </si>
  <si>
    <t>18,85</t>
  </si>
  <si>
    <t>371,75</t>
  </si>
  <si>
    <t>20,32</t>
  </si>
  <si>
    <t>15,17</t>
  </si>
  <si>
    <t>5,58</t>
  </si>
  <si>
    <t>44,90</t>
  </si>
  <si>
    <t>177,10</t>
  </si>
  <si>
    <t>19,00</t>
  </si>
  <si>
    <t>6,42</t>
  </si>
  <si>
    <t>6,43</t>
  </si>
  <si>
    <t>4,90</t>
  </si>
  <si>
    <t>60,75</t>
  </si>
  <si>
    <t>23,44</t>
  </si>
  <si>
    <t>8,30</t>
  </si>
  <si>
    <t>5,53</t>
  </si>
  <si>
    <t>9,88</t>
  </si>
  <si>
    <t>2,12</t>
  </si>
  <si>
    <t>13,35</t>
  </si>
  <si>
    <t>46,68</t>
  </si>
  <si>
    <t>10,85</t>
  </si>
  <si>
    <t>13,37</t>
  </si>
  <si>
    <t>22,10</t>
  </si>
  <si>
    <t>21,26</t>
  </si>
  <si>
    <t>10,05</t>
  </si>
  <si>
    <t>63,35</t>
  </si>
  <si>
    <t>134,80</t>
  </si>
  <si>
    <t>16,35</t>
  </si>
  <si>
    <t>269,75</t>
  </si>
  <si>
    <t>289,25</t>
  </si>
  <si>
    <t>8,25</t>
  </si>
  <si>
    <t>3,65</t>
  </si>
  <si>
    <t>52,90</t>
  </si>
  <si>
    <t>24,30</t>
  </si>
  <si>
    <t>37,74</t>
  </si>
  <si>
    <t>2,98</t>
  </si>
  <si>
    <t>2,57</t>
  </si>
  <si>
    <t>2,58</t>
  </si>
  <si>
    <t>74,45</t>
  </si>
  <si>
    <t>3,40</t>
  </si>
  <si>
    <t>3,41</t>
  </si>
  <si>
    <t>6,04</t>
  </si>
  <si>
    <t>11,39</t>
  </si>
  <si>
    <t>2,95</t>
  </si>
  <si>
    <t>26,22</t>
  </si>
  <si>
    <t>1,94</t>
  </si>
  <si>
    <t>1,29</t>
  </si>
  <si>
    <t>1,30</t>
  </si>
  <si>
    <t>2,85</t>
  </si>
  <si>
    <t>2,23</t>
  </si>
  <si>
    <t>11,62</t>
  </si>
  <si>
    <t>33,12</t>
  </si>
  <si>
    <t>7,71</t>
  </si>
  <si>
    <t>4,87</t>
  </si>
  <si>
    <t>1,67</t>
  </si>
  <si>
    <t>14,10</t>
  </si>
  <si>
    <t>14,12</t>
  </si>
  <si>
    <t>90,50</t>
  </si>
  <si>
    <t>27,72</t>
  </si>
  <si>
    <t>22,20</t>
  </si>
  <si>
    <t>5,24</t>
  </si>
  <si>
    <t>63,60</t>
  </si>
  <si>
    <t>14,30</t>
  </si>
  <si>
    <t>33,02</t>
  </si>
  <si>
    <t>24,90</t>
  </si>
  <si>
    <t>1,95</t>
  </si>
  <si>
    <t>97,65</t>
  </si>
  <si>
    <t>49,00</t>
  </si>
  <si>
    <t>3,84</t>
  </si>
  <si>
    <t>513,00</t>
  </si>
  <si>
    <t>26,20</t>
  </si>
  <si>
    <t>13,99</t>
  </si>
  <si>
    <t>11,70</t>
  </si>
  <si>
    <t>14,11</t>
  </si>
  <si>
    <t>2,54</t>
  </si>
  <si>
    <t>2,55</t>
  </si>
  <si>
    <t>5,35</t>
  </si>
  <si>
    <t>6,69</t>
  </si>
  <si>
    <t>6,70</t>
  </si>
  <si>
    <t>8,04</t>
  </si>
  <si>
    <t>1,87</t>
  </si>
  <si>
    <t>1.360,00</t>
  </si>
  <si>
    <t>6,48</t>
  </si>
  <si>
    <t>8,75</t>
  </si>
  <si>
    <t>30,22</t>
  </si>
  <si>
    <t>4,74</t>
  </si>
  <si>
    <t>76,10</t>
  </si>
  <si>
    <t>7,22</t>
  </si>
  <si>
    <t>3,94</t>
  </si>
  <si>
    <t>21,28</t>
  </si>
  <si>
    <t>27,74</t>
  </si>
  <si>
    <t>27,76</t>
  </si>
  <si>
    <t>5,27</t>
  </si>
  <si>
    <t>9,94</t>
  </si>
  <si>
    <t>9,95</t>
  </si>
  <si>
    <t>33,94</t>
  </si>
  <si>
    <t>33,96</t>
  </si>
  <si>
    <t>77,30</t>
  </si>
  <si>
    <t>77,45</t>
  </si>
  <si>
    <t>1,31</t>
  </si>
  <si>
    <t>7,45</t>
  </si>
  <si>
    <t>12,84</t>
  </si>
  <si>
    <t>12,85</t>
  </si>
  <si>
    <t>25,60</t>
  </si>
  <si>
    <t>17,08</t>
  </si>
  <si>
    <t>90,00</t>
  </si>
  <si>
    <t>1,71</t>
  </si>
  <si>
    <t>1,72</t>
  </si>
  <si>
    <t>225,00</t>
  </si>
  <si>
    <t>225,10</t>
  </si>
  <si>
    <t>11,51</t>
  </si>
  <si>
    <t>11,52</t>
  </si>
  <si>
    <t>121,70</t>
  </si>
  <si>
    <t>2,80</t>
  </si>
  <si>
    <t>12,86</t>
  </si>
  <si>
    <t>12,87</t>
  </si>
  <si>
    <t>13,34</t>
  </si>
  <si>
    <t>15,09</t>
  </si>
  <si>
    <t>19,20</t>
  </si>
  <si>
    <t>41,34</t>
  </si>
  <si>
    <t>23,14</t>
  </si>
  <si>
    <t>33,00</t>
  </si>
  <si>
    <t>11,15</t>
  </si>
  <si>
    <t>23,24</t>
  </si>
  <si>
    <t>27,44</t>
  </si>
  <si>
    <t>27,46</t>
  </si>
  <si>
    <t>3,44</t>
  </si>
  <si>
    <t>3,75</t>
  </si>
  <si>
    <t>10,63</t>
  </si>
  <si>
    <t>2,45</t>
  </si>
  <si>
    <t>2,46</t>
  </si>
  <si>
    <t>217,60</t>
  </si>
  <si>
    <t>6,16</t>
  </si>
  <si>
    <t>70,75</t>
  </si>
  <si>
    <t>27,80</t>
  </si>
  <si>
    <t>6,25</t>
  </si>
  <si>
    <t>0,75</t>
  </si>
  <si>
    <t>2,31</t>
  </si>
  <si>
    <t>14,87</t>
  </si>
  <si>
    <t>16,40</t>
  </si>
  <si>
    <t>23,10</t>
  </si>
  <si>
    <t>105,60</t>
  </si>
  <si>
    <t>3,50</t>
  </si>
  <si>
    <t>124,00</t>
  </si>
  <si>
    <t>124,10</t>
  </si>
  <si>
    <t>6,22</t>
  </si>
  <si>
    <t>19,10</t>
  </si>
  <si>
    <t>30,48</t>
  </si>
  <si>
    <t>26,30</t>
  </si>
  <si>
    <t>23,48</t>
  </si>
  <si>
    <t>25,56</t>
  </si>
  <si>
    <t>7,75</t>
  </si>
  <si>
    <t>2,96</t>
  </si>
  <si>
    <t>6,23</t>
  </si>
  <si>
    <t>26,12</t>
  </si>
  <si>
    <t>26,18</t>
  </si>
  <si>
    <t>99,95</t>
  </si>
  <si>
    <t>100,00</t>
  </si>
  <si>
    <t>28,62</t>
  </si>
  <si>
    <t>28,64</t>
  </si>
  <si>
    <t>139,30</t>
  </si>
  <si>
    <t>12,57</t>
  </si>
  <si>
    <t>12,58</t>
  </si>
  <si>
    <t>140,90</t>
  </si>
  <si>
    <t>141,50</t>
  </si>
  <si>
    <t>256,00</t>
  </si>
  <si>
    <t>256,25</t>
  </si>
  <si>
    <t>6,10</t>
  </si>
  <si>
    <t>6,15</t>
  </si>
  <si>
    <t>23,88</t>
  </si>
  <si>
    <t>24,26</t>
  </si>
  <si>
    <t>21,36</t>
  </si>
  <si>
    <t>21,38</t>
  </si>
  <si>
    <t>50,95</t>
  </si>
  <si>
    <t>51,00</t>
  </si>
  <si>
    <t>149,50</t>
  </si>
  <si>
    <t>10,32</t>
  </si>
  <si>
    <t>2,00</t>
  </si>
  <si>
    <t>2,01</t>
  </si>
  <si>
    <t>23,58</t>
  </si>
  <si>
    <t>15,51</t>
  </si>
  <si>
    <t>15,60</t>
  </si>
  <si>
    <t>5,81</t>
  </si>
  <si>
    <t>187,00</t>
  </si>
  <si>
    <t>187,10</t>
  </si>
  <si>
    <t>9,05</t>
  </si>
  <si>
    <t>9,08</t>
  </si>
  <si>
    <t>32,44</t>
  </si>
  <si>
    <t>32,46</t>
  </si>
  <si>
    <t>6,03</t>
  </si>
  <si>
    <t>17,34</t>
  </si>
  <si>
    <t>17,37</t>
  </si>
  <si>
    <t>81,00</t>
  </si>
  <si>
    <t>81,05</t>
  </si>
  <si>
    <t>877,00</t>
  </si>
  <si>
    <t>878,50</t>
  </si>
  <si>
    <t>104,00</t>
  </si>
  <si>
    <t>44,06</t>
  </si>
  <si>
    <t>44,20</t>
  </si>
  <si>
    <t>17,63</t>
  </si>
  <si>
    <t>17,65</t>
  </si>
  <si>
    <t>6,63</t>
  </si>
  <si>
    <t>14,18</t>
  </si>
  <si>
    <t>43,06</t>
  </si>
  <si>
    <t>43,30</t>
  </si>
  <si>
    <t>45,60</t>
  </si>
  <si>
    <t>45,61</t>
  </si>
  <si>
    <t>69,85</t>
  </si>
  <si>
    <t>69,90</t>
  </si>
  <si>
    <t>28,42</t>
  </si>
  <si>
    <t>28,48</t>
  </si>
  <si>
    <t>16,37</t>
  </si>
  <si>
    <t>10,49</t>
  </si>
  <si>
    <t>10,50</t>
  </si>
  <si>
    <t>75,65</t>
  </si>
  <si>
    <t>87,25</t>
  </si>
  <si>
    <t>88,00</t>
  </si>
  <si>
    <t>47,52</t>
  </si>
  <si>
    <t>105,30</t>
  </si>
  <si>
    <t>105,40</t>
  </si>
  <si>
    <t>26,56</t>
  </si>
  <si>
    <t>26,58</t>
  </si>
  <si>
    <t>32,38</t>
  </si>
  <si>
    <t>32,40</t>
  </si>
  <si>
    <t>34,42</t>
  </si>
  <si>
    <t>19,74</t>
  </si>
  <si>
    <t>4,31</t>
  </si>
  <si>
    <t>4,32</t>
  </si>
  <si>
    <t>129,60</t>
  </si>
  <si>
    <t>129,70</t>
  </si>
  <si>
    <t>10,40</t>
  </si>
  <si>
    <t>93,55</t>
  </si>
  <si>
    <t>56,05</t>
  </si>
  <si>
    <t>56,10</t>
  </si>
  <si>
    <t>10,68</t>
  </si>
  <si>
    <t>10,69</t>
  </si>
  <si>
    <t>40,06</t>
  </si>
  <si>
    <t>40,26</t>
  </si>
  <si>
    <t>74,55</t>
  </si>
  <si>
    <t>74,60</t>
  </si>
  <si>
    <t>5,85</t>
  </si>
  <si>
    <t>60,50</t>
  </si>
  <si>
    <t>60,55</t>
  </si>
  <si>
    <t>8,56</t>
  </si>
  <si>
    <t>8,57</t>
  </si>
  <si>
    <t>40,82</t>
  </si>
  <si>
    <t>40,94</t>
  </si>
  <si>
    <t>2,62</t>
  </si>
  <si>
    <t>2,63</t>
  </si>
  <si>
    <t>52,25</t>
  </si>
  <si>
    <t>52,45</t>
  </si>
  <si>
    <t>401,50</t>
  </si>
  <si>
    <t>16,06</t>
  </si>
  <si>
    <t>23,78</t>
  </si>
  <si>
    <t>10,17</t>
  </si>
  <si>
    <t>128,20</t>
  </si>
  <si>
    <t>38,34</t>
  </si>
  <si>
    <t>38,36</t>
  </si>
  <si>
    <t>26,68</t>
  </si>
  <si>
    <t>26,76</t>
  </si>
  <si>
    <t>40,98</t>
  </si>
  <si>
    <t>41,00</t>
  </si>
  <si>
    <t>29,64</t>
  </si>
  <si>
    <t>48,48</t>
  </si>
  <si>
    <t>48,50</t>
  </si>
  <si>
    <t>23,12</t>
  </si>
  <si>
    <t>195,20</t>
  </si>
  <si>
    <t>195,30</t>
  </si>
  <si>
    <t>17,00</t>
  </si>
  <si>
    <t>17,03</t>
  </si>
  <si>
    <t>9,90</t>
  </si>
  <si>
    <t>34,38</t>
  </si>
  <si>
    <t>34,54</t>
  </si>
  <si>
    <t>19,99</t>
  </si>
  <si>
    <t>14,05</t>
  </si>
  <si>
    <t>14,06</t>
  </si>
  <si>
    <t>20,10</t>
  </si>
  <si>
    <t>20,12</t>
  </si>
  <si>
    <t>42,10</t>
  </si>
  <si>
    <t>42,22</t>
  </si>
  <si>
    <t>34,24</t>
  </si>
  <si>
    <t>34,26</t>
  </si>
  <si>
    <t>11,31</t>
  </si>
  <si>
    <t>476,00</t>
  </si>
  <si>
    <t>476,50</t>
  </si>
  <si>
    <t>256,50</t>
  </si>
  <si>
    <t>257,00</t>
  </si>
  <si>
    <t>200,60</t>
  </si>
  <si>
    <t>200,80</t>
  </si>
  <si>
    <t>19,84</t>
  </si>
  <si>
    <t>19,85</t>
  </si>
  <si>
    <t>23,50</t>
  </si>
  <si>
    <t>1,75</t>
  </si>
  <si>
    <t>15,99</t>
  </si>
  <si>
    <t>11,44</t>
  </si>
  <si>
    <t>57,90</t>
  </si>
  <si>
    <t>57,95</t>
  </si>
  <si>
    <t>25,62</t>
  </si>
  <si>
    <t>101,00</t>
  </si>
  <si>
    <t>72,05</t>
  </si>
  <si>
    <t>72,35</t>
  </si>
  <si>
    <t>7,09</t>
  </si>
  <si>
    <t>7,01</t>
  </si>
  <si>
    <t>7,02</t>
  </si>
  <si>
    <t>15,45</t>
  </si>
  <si>
    <t>15,46</t>
  </si>
  <si>
    <t>5,25</t>
  </si>
  <si>
    <t>329,00</t>
  </si>
  <si>
    <t>330,75</t>
  </si>
  <si>
    <t>1.836,00</t>
  </si>
  <si>
    <t>1.838,00</t>
  </si>
  <si>
    <t>16,50</t>
  </si>
  <si>
    <t>4,96</t>
  </si>
  <si>
    <t>7,06</t>
  </si>
  <si>
    <t>27,82</t>
  </si>
  <si>
    <t>27,84</t>
  </si>
  <si>
    <t>16,76</t>
  </si>
  <si>
    <t>16,82</t>
  </si>
  <si>
    <t>103,20</t>
  </si>
  <si>
    <t>103,90</t>
  </si>
  <si>
    <t>88,30</t>
  </si>
  <si>
    <t>20,90</t>
  </si>
  <si>
    <t>1,53</t>
  </si>
  <si>
    <t>102,50</t>
  </si>
  <si>
    <t>103,00</t>
  </si>
  <si>
    <t>27,88</t>
  </si>
  <si>
    <t>27,90</t>
  </si>
  <si>
    <t>48,76</t>
  </si>
  <si>
    <t>48,98</t>
  </si>
  <si>
    <t>19,52</t>
  </si>
  <si>
    <t>19,56</t>
  </si>
  <si>
    <t>8,18</t>
  </si>
  <si>
    <t>8,20</t>
  </si>
  <si>
    <t>15,90</t>
  </si>
  <si>
    <t>15,94</t>
  </si>
  <si>
    <t>25,30</t>
  </si>
  <si>
    <t>25,32</t>
  </si>
  <si>
    <t>48,20</t>
  </si>
  <si>
    <t>48,30</t>
  </si>
  <si>
    <t>1.793,00</t>
  </si>
  <si>
    <t>2.109,00</t>
  </si>
  <si>
    <t>2.110,00</t>
  </si>
  <si>
    <t>328,00</t>
  </si>
  <si>
    <t>330,00</t>
  </si>
  <si>
    <t>2,75</t>
  </si>
  <si>
    <t>102,90</t>
  </si>
  <si>
    <t>10,99</t>
  </si>
  <si>
    <t>11,13</t>
  </si>
  <si>
    <t>74,80</t>
  </si>
  <si>
    <t>74,85</t>
  </si>
  <si>
    <t>19,25</t>
  </si>
  <si>
    <t>11,77</t>
  </si>
  <si>
    <t>11,78</t>
  </si>
  <si>
    <t>14,33</t>
  </si>
  <si>
    <t>14,37</t>
  </si>
  <si>
    <t>97,70</t>
  </si>
  <si>
    <t>4,45</t>
  </si>
  <si>
    <t>4,46</t>
  </si>
  <si>
    <t>8,49</t>
  </si>
  <si>
    <t>8,50</t>
  </si>
  <si>
    <t>39,00</t>
  </si>
  <si>
    <t>39,16</t>
  </si>
  <si>
    <t>38,08</t>
  </si>
  <si>
    <t>9,09</t>
  </si>
  <si>
    <t>50,05</t>
  </si>
  <si>
    <t>50,45</t>
  </si>
  <si>
    <t>54,55</t>
  </si>
  <si>
    <t>54,95</t>
  </si>
  <si>
    <t>64,00</t>
  </si>
  <si>
    <t>65,10</t>
  </si>
  <si>
    <t>31,70</t>
  </si>
  <si>
    <t>31,90</t>
  </si>
  <si>
    <t>21,88</t>
  </si>
  <si>
    <t>22,00</t>
  </si>
  <si>
    <t>20,38</t>
  </si>
  <si>
    <t>24,04</t>
  </si>
  <si>
    <t>7,23</t>
  </si>
  <si>
    <t>18,90</t>
  </si>
  <si>
    <t>173,50</t>
  </si>
  <si>
    <t>173,60</t>
  </si>
  <si>
    <t>7.650,00</t>
  </si>
  <si>
    <t>7.677,50</t>
  </si>
  <si>
    <t>29,00</t>
  </si>
  <si>
    <t>29,32</t>
  </si>
  <si>
    <t>15,63</t>
  </si>
  <si>
    <t>15,68</t>
  </si>
  <si>
    <t>14,66</t>
  </si>
  <si>
    <t>14,67</t>
  </si>
  <si>
    <t>20,28</t>
  </si>
  <si>
    <t>20,34</t>
  </si>
  <si>
    <t>290,00</t>
  </si>
  <si>
    <t>294,50</t>
  </si>
  <si>
    <t>3,12</t>
  </si>
  <si>
    <t>14,83</t>
  </si>
  <si>
    <t>14,84</t>
  </si>
  <si>
    <t>5,62</t>
  </si>
  <si>
    <t>41,36</t>
  </si>
  <si>
    <t>45,00</t>
  </si>
  <si>
    <t>46,10</t>
  </si>
  <si>
    <t>177,00</t>
  </si>
  <si>
    <t>4,18</t>
  </si>
  <si>
    <t>4,19</t>
  </si>
  <si>
    <t>28,16</t>
  </si>
  <si>
    <t>28,30</t>
  </si>
  <si>
    <t>102,40</t>
  </si>
  <si>
    <t>102,80</t>
  </si>
  <si>
    <t>8.127,50</t>
  </si>
  <si>
    <t>8.305,00</t>
  </si>
  <si>
    <t>19,03</t>
  </si>
  <si>
    <t>82,10</t>
  </si>
  <si>
    <t>82,15</t>
  </si>
  <si>
    <t>20,06</t>
  </si>
  <si>
    <t>20,08</t>
  </si>
  <si>
    <t>3,04</t>
  </si>
  <si>
    <t>13,98</t>
  </si>
  <si>
    <t>52,60</t>
  </si>
  <si>
    <t>52,70</t>
  </si>
  <si>
    <t>20,62</t>
  </si>
  <si>
    <t>5,12</t>
  </si>
  <si>
    <t>35,84</t>
  </si>
  <si>
    <t>35,86</t>
  </si>
  <si>
    <t>320,50</t>
  </si>
  <si>
    <t>321,50</t>
  </si>
  <si>
    <t>17,49</t>
  </si>
  <si>
    <t>17,50</t>
  </si>
  <si>
    <t>52,05</t>
  </si>
  <si>
    <t>53,35</t>
  </si>
  <si>
    <t>60,25</t>
  </si>
  <si>
    <t>60,30</t>
  </si>
  <si>
    <t>18,42</t>
  </si>
  <si>
    <t>18,45</t>
  </si>
  <si>
    <t>8,70</t>
  </si>
  <si>
    <t>143,00</t>
  </si>
  <si>
    <t>143,70</t>
  </si>
  <si>
    <t>71,05</t>
  </si>
  <si>
    <t>23,40</t>
  </si>
  <si>
    <t>74,25</t>
  </si>
  <si>
    <t>65,25</t>
  </si>
  <si>
    <t>65,30</t>
  </si>
  <si>
    <t>8,46</t>
  </si>
  <si>
    <t>12,88</t>
  </si>
  <si>
    <t>14,00</t>
  </si>
  <si>
    <t>14,01</t>
  </si>
  <si>
    <t>10,70</t>
  </si>
  <si>
    <t>10,75</t>
  </si>
  <si>
    <t>26,80</t>
  </si>
  <si>
    <t>5,39</t>
  </si>
  <si>
    <t>5,40</t>
  </si>
  <si>
    <t>9,72</t>
  </si>
  <si>
    <t>9,79</t>
  </si>
  <si>
    <t>2,13</t>
  </si>
  <si>
    <t>13,33</t>
  </si>
  <si>
    <t>47,20</t>
  </si>
  <si>
    <t>47,22</t>
  </si>
  <si>
    <t>11,02</t>
  </si>
  <si>
    <t>290,25</t>
  </si>
  <si>
    <t>13,32</t>
  </si>
  <si>
    <t>3,61</t>
  </si>
  <si>
    <t>3,63</t>
  </si>
  <si>
    <t>65,00</t>
  </si>
  <si>
    <t>65,40</t>
  </si>
  <si>
    <t>80,10</t>
  </si>
  <si>
    <t>80,15</t>
  </si>
  <si>
    <t>35,22</t>
  </si>
  <si>
    <t>105,90</t>
  </si>
  <si>
    <t>106,00</t>
  </si>
  <si>
    <t>22,14</t>
  </si>
  <si>
    <t>8,12</t>
  </si>
  <si>
    <t>8,14</t>
  </si>
  <si>
    <t>20,42</t>
  </si>
  <si>
    <t>20,50</t>
  </si>
  <si>
    <t>139,00</t>
  </si>
  <si>
    <t>20,64</t>
  </si>
  <si>
    <t>42,06</t>
  </si>
  <si>
    <t>42,92</t>
  </si>
  <si>
    <t>88,25</t>
  </si>
  <si>
    <t>10,04</t>
  </si>
  <si>
    <t>10,09</t>
  </si>
  <si>
    <t>62,90</t>
  </si>
  <si>
    <t>62,95</t>
  </si>
  <si>
    <t>134,60</t>
  </si>
  <si>
    <t>3,05</t>
  </si>
  <si>
    <t>16,01</t>
  </si>
  <si>
    <t>16,08</t>
  </si>
  <si>
    <t>340,75</t>
  </si>
  <si>
    <t>341,00</t>
  </si>
  <si>
    <t>16,24</t>
  </si>
  <si>
    <t>16,25</t>
  </si>
  <si>
    <t>17,26</t>
  </si>
  <si>
    <t>17,27</t>
  </si>
  <si>
    <t>270,00</t>
  </si>
  <si>
    <t>8,26</t>
  </si>
  <si>
    <t>3,64</t>
  </si>
  <si>
    <t>238,10</t>
  </si>
  <si>
    <t>53,00</t>
  </si>
  <si>
    <t>22,90</t>
  </si>
  <si>
    <t>22,92</t>
  </si>
  <si>
    <t>185,20</t>
  </si>
  <si>
    <t>185,30</t>
  </si>
  <si>
    <t>19,43</t>
  </si>
  <si>
    <t>19,45</t>
  </si>
  <si>
    <t>24,74</t>
  </si>
  <si>
    <t>24,76</t>
  </si>
  <si>
    <t>37,70</t>
  </si>
  <si>
    <t>8,22</t>
  </si>
  <si>
    <t>10,47</t>
  </si>
  <si>
    <t>10,48</t>
  </si>
  <si>
    <t>2,56</t>
  </si>
  <si>
    <t>44,88</t>
  </si>
  <si>
    <t>73,55</t>
  </si>
  <si>
    <t>1,66</t>
  </si>
  <si>
    <t>5,99</t>
  </si>
  <si>
    <t>6,00</t>
  </si>
  <si>
    <t>15,18</t>
  </si>
  <si>
    <t>11,18</t>
  </si>
  <si>
    <t>26,60</t>
  </si>
  <si>
    <t>1,96</t>
  </si>
  <si>
    <t>1,98</t>
  </si>
  <si>
    <t>1,28</t>
  </si>
  <si>
    <t>2,18</t>
  </si>
  <si>
    <t>2,19</t>
  </si>
  <si>
    <t>6,50</t>
  </si>
  <si>
    <t>2,22</t>
  </si>
  <si>
    <t>357,00</t>
  </si>
  <si>
    <t>357,25</t>
  </si>
  <si>
    <t>359,75</t>
  </si>
  <si>
    <t>360,00</t>
  </si>
  <si>
    <t>180,20</t>
  </si>
  <si>
    <t>182,60</t>
  </si>
  <si>
    <t>61,00</t>
  </si>
  <si>
    <t>61,10</t>
  </si>
  <si>
    <t>4.950.000,00</t>
  </si>
  <si>
    <t>77,55</t>
  </si>
  <si>
    <t>78,00</t>
  </si>
  <si>
    <t>507.242,50</t>
  </si>
  <si>
    <t>523.742,50</t>
  </si>
  <si>
    <t>10,76</t>
  </si>
  <si>
    <t>34,04</t>
  </si>
  <si>
    <t>32,30</t>
  </si>
  <si>
    <t>32,32</t>
  </si>
  <si>
    <t>14,46</t>
  </si>
  <si>
    <t>14,59</t>
  </si>
  <si>
    <t>29,34</t>
  </si>
  <si>
    <t>29,38</t>
  </si>
  <si>
    <t>4.400.000,00</t>
  </si>
  <si>
    <t>32,80</t>
  </si>
  <si>
    <t>7,58</t>
  </si>
  <si>
    <t>118,00</t>
  </si>
  <si>
    <t>118,20</t>
  </si>
  <si>
    <t>43,00</t>
  </si>
  <si>
    <t>43,18</t>
  </si>
  <si>
    <t>20,04</t>
  </si>
  <si>
    <t>224,30</t>
  </si>
  <si>
    <t>227,80</t>
  </si>
  <si>
    <t>7,94</t>
  </si>
  <si>
    <t>7,95</t>
  </si>
  <si>
    <t>9,93</t>
  </si>
  <si>
    <t>79,50</t>
  </si>
  <si>
    <t>80,05</t>
  </si>
  <si>
    <t>19,93</t>
  </si>
  <si>
    <t>19,94</t>
  </si>
  <si>
    <t>63,80</t>
  </si>
  <si>
    <t>13,18</t>
  </si>
  <si>
    <t>141,70</t>
  </si>
  <si>
    <t>141,80</t>
  </si>
  <si>
    <t>718,00</t>
  </si>
  <si>
    <t>718,50</t>
  </si>
  <si>
    <t>14,14</t>
  </si>
  <si>
    <t>90,40</t>
  </si>
  <si>
    <t>11,93</t>
  </si>
  <si>
    <t>11,97</t>
  </si>
  <si>
    <t>4,44</t>
  </si>
  <si>
    <t>22,22</t>
  </si>
  <si>
    <t>22,36</t>
  </si>
  <si>
    <t>6,60</t>
  </si>
  <si>
    <t>6,61</t>
  </si>
  <si>
    <t>27,40</t>
  </si>
  <si>
    <t>5,18</t>
  </si>
  <si>
    <t>62,55</t>
  </si>
  <si>
    <t>62,65</t>
  </si>
  <si>
    <t>14,31</t>
  </si>
  <si>
    <t>10,62</t>
  </si>
  <si>
    <t>12,13</t>
  </si>
  <si>
    <t>12,14</t>
  </si>
  <si>
    <t>32,76</t>
  </si>
  <si>
    <t>32,78</t>
  </si>
  <si>
    <t>25,20</t>
  </si>
  <si>
    <t>25,26</t>
  </si>
  <si>
    <t>5.255,00</t>
  </si>
  <si>
    <t>5.300,00</t>
  </si>
  <si>
    <t>4,82</t>
  </si>
  <si>
    <t>4,83</t>
  </si>
  <si>
    <t>54,60</t>
  </si>
  <si>
    <t>54,85</t>
  </si>
  <si>
    <t>86,10</t>
  </si>
  <si>
    <t>86,50</t>
  </si>
  <si>
    <t>23,16</t>
  </si>
  <si>
    <t>23,18</t>
  </si>
  <si>
    <t>38,90</t>
  </si>
  <si>
    <t>21,46</t>
  </si>
  <si>
    <t>21,48</t>
  </si>
  <si>
    <t>22,04</t>
  </si>
  <si>
    <t>22,06</t>
  </si>
  <si>
    <t>15,81</t>
  </si>
  <si>
    <t>6,28</t>
  </si>
  <si>
    <t>24,24</t>
  </si>
  <si>
    <t>3.572,50</t>
  </si>
  <si>
    <t>3.590,00</t>
  </si>
  <si>
    <t>97,90</t>
  </si>
  <si>
    <t>97,95</t>
  </si>
  <si>
    <t>56,50</t>
  </si>
  <si>
    <t>56,60</t>
  </si>
  <si>
    <t>79,10</t>
  </si>
  <si>
    <t>90,65</t>
  </si>
  <si>
    <t>9,74</t>
  </si>
  <si>
    <t>9,75</t>
  </si>
  <si>
    <t>19,71</t>
  </si>
  <si>
    <t>228,70</t>
  </si>
  <si>
    <t>229,00</t>
  </si>
  <si>
    <t>3,80</t>
  </si>
  <si>
    <t>3,81</t>
  </si>
  <si>
    <t>22,26</t>
  </si>
  <si>
    <t>510,00</t>
  </si>
  <si>
    <t>15,25</t>
  </si>
  <si>
    <t>15,30</t>
  </si>
  <si>
    <t>139,60</t>
  </si>
  <si>
    <t>4,79</t>
  </si>
  <si>
    <t>4,80</t>
  </si>
  <si>
    <t>76,40</t>
  </si>
  <si>
    <t>90,55</t>
  </si>
  <si>
    <t>91,45</t>
  </si>
  <si>
    <t>17.700,00</t>
  </si>
  <si>
    <t>17.792,50</t>
  </si>
  <si>
    <t>655,50</t>
  </si>
  <si>
    <t>657,50</t>
  </si>
  <si>
    <t>40,00</t>
  </si>
  <si>
    <t>40,22</t>
  </si>
  <si>
    <t>34,00</t>
  </si>
  <si>
    <t>18,13</t>
  </si>
  <si>
    <t>18,16</t>
  </si>
  <si>
    <t>11,38</t>
  </si>
  <si>
    <t>5,36</t>
  </si>
  <si>
    <t>13,86</t>
  </si>
  <si>
    <t>13,87</t>
  </si>
  <si>
    <t>49,50</t>
  </si>
  <si>
    <t>49,58</t>
  </si>
  <si>
    <t>3,00</t>
  </si>
  <si>
    <t>30,50</t>
  </si>
  <si>
    <t>30,58</t>
  </si>
  <si>
    <t>29,72</t>
  </si>
  <si>
    <t>29,78</t>
  </si>
  <si>
    <t>2,66</t>
  </si>
  <si>
    <t>2,70</t>
  </si>
  <si>
    <t>26,94</t>
  </si>
  <si>
    <t>27,04</t>
  </si>
  <si>
    <t>38,44</t>
  </si>
  <si>
    <t>7,63</t>
  </si>
  <si>
    <t>11,75</t>
  </si>
  <si>
    <t>21,20</t>
  </si>
  <si>
    <t>21,22</t>
  </si>
  <si>
    <t>476,75</t>
  </si>
  <si>
    <t>477,00</t>
  </si>
  <si>
    <t>4,73</t>
  </si>
  <si>
    <t>30,82</t>
  </si>
  <si>
    <t>30,84</t>
  </si>
  <si>
    <t>22,78</t>
  </si>
  <si>
    <t>23,00</t>
  </si>
  <si>
    <t>10,27</t>
  </si>
  <si>
    <t>10,30</t>
  </si>
  <si>
    <t>5,33</t>
  </si>
  <si>
    <t>8,03</t>
  </si>
  <si>
    <t>31,76</t>
  </si>
  <si>
    <t>315,00</t>
  </si>
  <si>
    <t>315,25</t>
  </si>
  <si>
    <t>1.355,00</t>
  </si>
  <si>
    <t>3,90</t>
  </si>
  <si>
    <t>3,92</t>
  </si>
  <si>
    <t>18,91</t>
  </si>
  <si>
    <t>50,25</t>
  </si>
  <si>
    <t>50,30</t>
  </si>
  <si>
    <t>47,80</t>
  </si>
  <si>
    <t>47,82</t>
  </si>
  <si>
    <t>16,99</t>
  </si>
  <si>
    <t>17,02</t>
  </si>
  <si>
    <t>40,90</t>
  </si>
  <si>
    <t>40,96</t>
  </si>
  <si>
    <t>226,00</t>
  </si>
  <si>
    <t>226,20</t>
  </si>
  <si>
    <t>49,44</t>
  </si>
  <si>
    <t>49,46</t>
  </si>
  <si>
    <t>30,06</t>
  </si>
  <si>
    <t>30,18</t>
  </si>
  <si>
    <t>4,69</t>
  </si>
  <si>
    <t>4,71</t>
  </si>
  <si>
    <t>73,60</t>
  </si>
  <si>
    <t>73,80</t>
  </si>
  <si>
    <t>40,02</t>
  </si>
  <si>
    <t>40,10</t>
  </si>
  <si>
    <t>83,15</t>
  </si>
  <si>
    <t>83,30</t>
  </si>
  <si>
    <t>60,80</t>
  </si>
  <si>
    <t>7,27</t>
  </si>
  <si>
    <t>76,15</t>
  </si>
  <si>
    <t>150,00</t>
  </si>
  <si>
    <t>150,10</t>
  </si>
  <si>
    <t>3,96</t>
  </si>
  <si>
    <t>387,75</t>
  </si>
  <si>
    <t>388,00</t>
  </si>
  <si>
    <t>384,25</t>
  </si>
  <si>
    <t>384,50</t>
  </si>
  <si>
    <t>21,00</t>
  </si>
  <si>
    <t>21,02</t>
  </si>
  <si>
    <t>25,54</t>
  </si>
  <si>
    <t>7,15</t>
  </si>
  <si>
    <t>7,21</t>
  </si>
  <si>
    <t>122,10</t>
  </si>
  <si>
    <t>122,80</t>
  </si>
  <si>
    <t>9,96</t>
  </si>
  <si>
    <t>7,52</t>
  </si>
  <si>
    <t>24,96</t>
  </si>
  <si>
    <t>25,00</t>
  </si>
  <si>
    <t>27,58</t>
  </si>
  <si>
    <t>27,60</t>
  </si>
  <si>
    <t>72,40</t>
  </si>
  <si>
    <t>80,00</t>
  </si>
  <si>
    <t>76,70</t>
  </si>
  <si>
    <t>76,90</t>
  </si>
  <si>
    <t>78,05</t>
  </si>
  <si>
    <t>69,10</t>
  </si>
  <si>
    <t>69,25</t>
  </si>
  <si>
    <t>12,16</t>
  </si>
  <si>
    <t>12,17</t>
  </si>
  <si>
    <t>15,48</t>
  </si>
  <si>
    <t>15,49</t>
  </si>
  <si>
    <t>1,27</t>
  </si>
  <si>
    <t>7,46</t>
  </si>
  <si>
    <t>12,82</t>
  </si>
  <si>
    <t>16,27</t>
  </si>
  <si>
    <t>16,30</t>
  </si>
  <si>
    <t>8,73</t>
  </si>
  <si>
    <t>241,20</t>
  </si>
  <si>
    <t>241,30</t>
  </si>
  <si>
    <t>67,35</t>
  </si>
  <si>
    <t>67,45</t>
  </si>
  <si>
    <t>214,30</t>
  </si>
  <si>
    <t>214,50</t>
  </si>
  <si>
    <t>30,40</t>
  </si>
  <si>
    <t>8,68</t>
  </si>
  <si>
    <t>19,30</t>
  </si>
  <si>
    <t>6.172,50</t>
  </si>
  <si>
    <t>6.185,00</t>
  </si>
  <si>
    <t>26,42</t>
  </si>
  <si>
    <t>26,46</t>
  </si>
  <si>
    <t>17,05</t>
  </si>
  <si>
    <t>12,69</t>
  </si>
  <si>
    <t>12,70</t>
  </si>
  <si>
    <t>95,00</t>
  </si>
  <si>
    <t>95,05</t>
  </si>
  <si>
    <t>31,20</t>
  </si>
  <si>
    <t>31,44</t>
  </si>
  <si>
    <t>258,50</t>
  </si>
  <si>
    <t>259,50</t>
  </si>
  <si>
    <t>5,59</t>
  </si>
  <si>
    <t>131,10</t>
  </si>
  <si>
    <t>131,20</t>
  </si>
  <si>
    <t>225,40</t>
  </si>
  <si>
    <t>11,48</t>
  </si>
  <si>
    <t>11,50</t>
  </si>
  <si>
    <t>122,00</t>
  </si>
  <si>
    <t>30,98</t>
  </si>
  <si>
    <t>31,00</t>
  </si>
  <si>
    <t>15,70</t>
  </si>
  <si>
    <t>15,71</t>
  </si>
  <si>
    <t>2,81</t>
  </si>
  <si>
    <t>8,32</t>
  </si>
  <si>
    <t>13,41</t>
  </si>
  <si>
    <t>13,70</t>
  </si>
  <si>
    <t>100,30</t>
  </si>
  <si>
    <t>76,60</t>
  </si>
  <si>
    <t>16,56</t>
  </si>
  <si>
    <t>16,63</t>
  </si>
  <si>
    <t>24,92</t>
  </si>
  <si>
    <t>19,16</t>
  </si>
  <si>
    <t>19,17</t>
  </si>
  <si>
    <t>17,44</t>
  </si>
  <si>
    <t>17,47</t>
  </si>
  <si>
    <t>3,25</t>
  </si>
  <si>
    <t>3,28</t>
  </si>
  <si>
    <t>42,30</t>
  </si>
  <si>
    <t>43,26</t>
  </si>
  <si>
    <t>176,20</t>
  </si>
  <si>
    <t>176,30</t>
  </si>
  <si>
    <t>23,02</t>
  </si>
  <si>
    <t>3,83</t>
  </si>
  <si>
    <t>7,16</t>
  </si>
  <si>
    <t>68,30</t>
  </si>
  <si>
    <t>54,00</t>
  </si>
  <si>
    <t>55,30</t>
  </si>
  <si>
    <t>10,86</t>
  </si>
  <si>
    <t>2,91</t>
  </si>
  <si>
    <t>2,92</t>
  </si>
  <si>
    <t>4,50</t>
  </si>
  <si>
    <t>4,52</t>
  </si>
  <si>
    <t>79,80</t>
  </si>
  <si>
    <t>79,85</t>
  </si>
  <si>
    <t>11,17</t>
  </si>
  <si>
    <t>11,21</t>
  </si>
  <si>
    <t>27,96</t>
  </si>
  <si>
    <t>165,30</t>
  </si>
  <si>
    <t>166,00</t>
  </si>
  <si>
    <t>3,45</t>
  </si>
  <si>
    <t>3,76</t>
  </si>
  <si>
    <t>183,30</t>
  </si>
  <si>
    <t>183,40</t>
  </si>
  <si>
    <t>55,75</t>
  </si>
  <si>
    <t>82,25</t>
  </si>
  <si>
    <t>82,40</t>
  </si>
  <si>
    <t>10,61</t>
  </si>
  <si>
    <t>33,14</t>
  </si>
  <si>
    <t>33,18</t>
  </si>
  <si>
    <t>97,45</t>
  </si>
  <si>
    <t>97,50</t>
  </si>
  <si>
    <t>259,00</t>
  </si>
  <si>
    <t>33,76</t>
  </si>
  <si>
    <t>33,78</t>
  </si>
  <si>
    <t>14,80</t>
  </si>
  <si>
    <t>172,90</t>
  </si>
  <si>
    <t>173,00</t>
  </si>
  <si>
    <t>305,00</t>
  </si>
  <si>
    <t>305,50</t>
  </si>
  <si>
    <t>41,80</t>
  </si>
  <si>
    <t>41,86</t>
  </si>
  <si>
    <t>11,25</t>
  </si>
  <si>
    <t>11,27</t>
  </si>
  <si>
    <t>217,90</t>
  </si>
  <si>
    <t>166,30</t>
  </si>
  <si>
    <t>167,30</t>
  </si>
  <si>
    <t>94,85</t>
  </si>
  <si>
    <t>94,90</t>
  </si>
  <si>
    <t>13,83</t>
  </si>
  <si>
    <t>13,88</t>
  </si>
  <si>
    <t>167,60</t>
  </si>
  <si>
    <t>167,70</t>
  </si>
  <si>
    <t>16,51</t>
  </si>
  <si>
    <t>16,52</t>
  </si>
  <si>
    <t>73,85</t>
  </si>
  <si>
    <t>74,00</t>
  </si>
  <si>
    <t>273,25</t>
  </si>
  <si>
    <t>273,50</t>
  </si>
  <si>
    <t>111,00</t>
  </si>
  <si>
    <t>111,30</t>
  </si>
  <si>
    <t>19,54</t>
  </si>
  <si>
    <t>78,15</t>
  </si>
  <si>
    <t>78,20</t>
  </si>
  <si>
    <t>70,80</t>
  </si>
  <si>
    <t>70,95</t>
  </si>
  <si>
    <t>96,45</t>
  </si>
  <si>
    <t>35,78</t>
  </si>
  <si>
    <t>35,80</t>
  </si>
  <si>
    <t>176,90</t>
  </si>
  <si>
    <t>61,75</t>
  </si>
  <si>
    <t>61,80</t>
  </si>
  <si>
    <t>20,84</t>
  </si>
  <si>
    <t>10,89</t>
  </si>
  <si>
    <t>10,90</t>
  </si>
  <si>
    <t>55,15</t>
  </si>
  <si>
    <t>55,20</t>
  </si>
  <si>
    <t>559,00</t>
  </si>
  <si>
    <t>559,50</t>
  </si>
  <si>
    <t>436,00</t>
  </si>
  <si>
    <t>437,00</t>
  </si>
  <si>
    <t>16,49</t>
  </si>
  <si>
    <t>870,00</t>
  </si>
  <si>
    <t>878,00</t>
  </si>
  <si>
    <t>105,50</t>
  </si>
  <si>
    <t>3,49</t>
  </si>
  <si>
    <t>126,90</t>
  </si>
  <si>
    <t>127,20</t>
  </si>
  <si>
    <t>15,23</t>
  </si>
  <si>
    <t>15,47</t>
  </si>
  <si>
    <t>5,31</t>
  </si>
  <si>
    <t>5,32</t>
  </si>
  <si>
    <t>22,50</t>
  </si>
  <si>
    <t>22,54</t>
  </si>
  <si>
    <t>54,15</t>
  </si>
  <si>
    <t>34,82</t>
  </si>
  <si>
    <t>19,01</t>
  </si>
  <si>
    <t>19,02</t>
  </si>
  <si>
    <t>30,54</t>
  </si>
  <si>
    <t>222,90</t>
  </si>
  <si>
    <t>223,60</t>
  </si>
  <si>
    <t>8,82</t>
  </si>
  <si>
    <t>33,46</t>
  </si>
  <si>
    <t>16,79</t>
  </si>
  <si>
    <t>26,38</t>
  </si>
  <si>
    <t>2,30</t>
  </si>
  <si>
    <t>414,75</t>
  </si>
  <si>
    <t>415,00</t>
  </si>
  <si>
    <t>263,25</t>
  </si>
  <si>
    <t>263,75</t>
  </si>
  <si>
    <t>23,84</t>
  </si>
  <si>
    <t>25,68</t>
  </si>
  <si>
    <t>25,70</t>
  </si>
  <si>
    <t>99.187,50</t>
  </si>
  <si>
    <t>100.000,00</t>
  </si>
  <si>
    <t>1,46</t>
  </si>
  <si>
    <t>1,47</t>
  </si>
  <si>
    <t>82,55</t>
  </si>
  <si>
    <t>82,75</t>
  </si>
  <si>
    <t>23,42</t>
  </si>
  <si>
    <t>58,20</t>
  </si>
  <si>
    <t>59,00</t>
  </si>
  <si>
    <t>5,07</t>
  </si>
  <si>
    <t>5,08</t>
  </si>
  <si>
    <t>9,29</t>
  </si>
  <si>
    <t>7,76</t>
  </si>
  <si>
    <t>2,99</t>
  </si>
  <si>
    <t>24,56</t>
  </si>
  <si>
    <t>25,18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</si>
</sst>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b/>
      <sz val="11"/>
      <color theme="5" tint="-0.249977111117893"/>
      <name val="Calibri"/>
      <family val="2"/>
      <charset val="162"/>
      <scheme val="minor"/>
    </font>
    <font>
      <b/>
      <sz val="11"/>
      <color theme="4" tint="-0.249977111117893"/>
      <name val="Arial Black"/>
      <family val="2"/>
      <charset val="162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  <charset val="162"/>
    </font>
    <font>
      <b/>
      <sz val="18"/>
      <color theme="0"/>
      <name val="Arial Black"/>
      <family val="2"/>
      <charset val="162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charset val="162"/>
      <scheme val="minor"/>
    </font>
    <font>
      <b/>
      <sz val="16"/>
      <color rgb="FFFF0000"/>
      <name val="Calibri"/>
      <family val="2"/>
      <charset val="162"/>
      <scheme val="minor"/>
    </font>
    <font>
      <sz val="9"/>
      <color indexed="81"/>
      <name val="Tahoma"/>
      <family val="2"/>
      <charset val="162"/>
    </font>
  </fonts>
  <fills count="10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DashDotDot">
        <color theme="0"/>
      </right>
      <top style="mediumDashDotDot">
        <color theme="0"/>
      </top>
      <bottom style="mediumDashDotDot">
        <color theme="0"/>
      </bottom>
      <diagonal/>
    </border>
    <border>
      <left style="mediumDashDotDot">
        <color theme="0"/>
      </left>
      <right style="mediumDashDotDot">
        <color theme="0"/>
      </right>
      <top style="mediumDashDotDot">
        <color theme="0"/>
      </top>
      <bottom style="mediumDashDotDot">
        <color theme="0"/>
      </bottom>
      <diagonal/>
    </border>
    <border>
      <left/>
      <right/>
      <top style="mediumDashDotDot">
        <color theme="0"/>
      </top>
      <bottom style="mediumDashDotDot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DashDotDot">
        <color theme="0"/>
      </bottom>
      <diagonal/>
    </border>
    <border>
      <left style="dashDotDot">
        <color theme="0"/>
      </left>
      <right/>
      <top/>
      <bottom/>
      <diagonal/>
    </border>
    <border>
      <left/>
      <right style="dashDotDot">
        <color theme="0"/>
      </right>
      <top/>
      <bottom style="mediumDashDotDot">
        <color theme="0"/>
      </bottom>
      <diagonal/>
    </border>
    <border>
      <left/>
      <right/>
      <top style="dashDotDot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dashDotDot">
        <color theme="0"/>
      </top>
      <bottom style="mediumDashDotDot">
        <color theme="0"/>
      </bottom>
      <diagonal/>
    </border>
    <border>
      <left style="dashDotDot">
        <color theme="0"/>
      </left>
      <right/>
      <top style="dashDotDot">
        <color theme="0"/>
      </top>
      <bottom/>
      <diagonal/>
    </border>
    <border>
      <left/>
      <right style="dashDotDot">
        <color theme="0"/>
      </right>
      <top style="dashDotDot">
        <color theme="0"/>
      </top>
      <bottom/>
      <diagonal/>
    </border>
    <border>
      <left style="dashDotDot">
        <color theme="0"/>
      </left>
      <right/>
      <top/>
      <bottom style="dashDotDot">
        <color theme="0"/>
      </bottom>
      <diagonal/>
    </border>
    <border>
      <left/>
      <right/>
      <top/>
      <bottom style="dashDotDot">
        <color theme="0"/>
      </bottom>
      <diagonal/>
    </border>
    <border>
      <left/>
      <right style="dashDotDot">
        <color theme="0"/>
      </right>
      <top/>
      <bottom style="dashDotDot">
        <color theme="0"/>
      </bottom>
      <diagonal/>
    </border>
    <border>
      <left/>
      <right style="dashDotDot">
        <color theme="0"/>
      </right>
      <top style="mediumDashDotDot">
        <color theme="0"/>
      </top>
      <bottom style="mediumDashDotDot">
        <color theme="0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38">
    <xf numFmtId="0" fontId="0" fillId="0" borderId="0" xfId="0"/>
    <xf numFmtId="0" fontId="0" fillId="0" borderId="1" xfId="0" applyBorder="1"/>
    <xf numFmtId="0" fontId="2" fillId="0" borderId="0" xfId="0" applyFont="1"/>
    <xf numFmtId="0" fontId="0" fillId="0" borderId="2" xfId="0" applyBorder="1"/>
    <xf numFmtId="0" fontId="1" fillId="2" borderId="0" xfId="0" applyFont="1" applyFill="1"/>
    <xf numFmtId="0" fontId="3" fillId="2" borderId="0" xfId="0" applyFont="1" applyFill="1"/>
    <xf numFmtId="0" fontId="0" fillId="3" borderId="3" xfId="0" applyFill="1" applyBorder="1"/>
    <xf numFmtId="0" fontId="0" fillId="3" borderId="4" xfId="0" applyFill="1" applyBorder="1"/>
    <xf numFmtId="0" fontId="5" fillId="3" borderId="3" xfId="0" applyFont="1" applyFill="1" applyBorder="1"/>
    <xf numFmtId="0" fontId="4" fillId="3" borderId="3" xfId="0" applyFont="1" applyFill="1" applyBorder="1"/>
    <xf numFmtId="0" fontId="0" fillId="0" borderId="6" xfId="0" applyBorder="1"/>
    <xf numFmtId="0" fontId="5" fillId="4" borderId="5" xfId="0" applyFont="1" applyFill="1" applyBorder="1" applyAlignment="1"/>
    <xf numFmtId="2" fontId="0" fillId="3" borderId="4" xfId="0" applyNumberFormat="1" applyFill="1" applyBorder="1"/>
    <xf numFmtId="10" fontId="0" fillId="3" borderId="4" xfId="1" applyNumberFormat="1" applyFont="1" applyFill="1" applyBorder="1"/>
    <xf numFmtId="10" fontId="0" fillId="3" borderId="4" xfId="0" applyNumberFormat="1" applyFill="1" applyBorder="1"/>
    <xf numFmtId="2" fontId="0" fillId="3" borderId="4" xfId="1" applyNumberFormat="1" applyFont="1" applyFill="1" applyBorder="1"/>
    <xf numFmtId="0" fontId="8" fillId="5" borderId="0" xfId="0" applyFont="1" applyFill="1" applyAlignment="1">
      <alignment vertical="center"/>
    </xf>
    <xf numFmtId="22" fontId="8" fillId="5" borderId="7" xfId="0" applyNumberFormat="1" applyFont="1" applyFill="1" applyBorder="1" applyAlignment="1">
      <alignment vertical="center"/>
    </xf>
    <xf numFmtId="0" fontId="0" fillId="0" borderId="0" xfId="0" applyNumberFormat="1"/>
    <xf numFmtId="0" fontId="0" fillId="0" borderId="8" xfId="0" applyNumberFormat="1" applyBorder="1"/>
    <xf numFmtId="0" fontId="0" fillId="0" borderId="0" xfId="1" applyNumberFormat="1" applyFont="1"/>
    <xf numFmtId="0" fontId="8" fillId="5" borderId="11" xfId="0" applyFont="1" applyFill="1" applyBorder="1" applyAlignment="1">
      <alignment vertical="center"/>
    </xf>
    <xf numFmtId="14" fontId="8" fillId="5" borderId="12" xfId="0" applyNumberFormat="1" applyFont="1" applyFill="1" applyBorder="1" applyAlignment="1">
      <alignment vertical="center"/>
    </xf>
    <xf numFmtId="0" fontId="9" fillId="6" borderId="19" xfId="1" applyNumberFormat="1" applyFont="1" applyFill="1" applyBorder="1"/>
    <xf numFmtId="0" fontId="0" fillId="0" borderId="0" xfId="0" applyNumberFormat="1" applyFont="1"/>
    <xf numFmtId="9" fontId="10" fillId="7" borderId="0" xfId="1" applyNumberFormat="1" applyFont="1" applyFill="1" applyAlignment="1">
      <alignment horizontal="center" vertical="center"/>
    </xf>
    <xf numFmtId="0" fontId="9" fillId="8" borderId="20" xfId="1" applyNumberFormat="1" applyFont="1" applyFill="1" applyBorder="1"/>
    <xf numFmtId="9" fontId="11" fillId="9" borderId="0" xfId="1" applyNumberFormat="1" applyFont="1" applyFill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14" xfId="0" applyFont="1" applyFill="1" applyBorder="1" applyAlignment="1">
      <alignment horizontal="center" vertical="center"/>
    </xf>
    <xf numFmtId="0" fontId="8" fillId="5" borderId="15" xfId="0" applyFont="1" applyFill="1" applyBorder="1" applyAlignment="1">
      <alignment horizontal="center" vertical="center"/>
    </xf>
    <xf numFmtId="0" fontId="8" fillId="5" borderId="16" xfId="0" applyFont="1" applyFill="1" applyBorder="1" applyAlignment="1">
      <alignment horizontal="center" vertical="center"/>
    </xf>
    <xf numFmtId="0" fontId="8" fillId="5" borderId="17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/>
    </xf>
  </cellXfs>
  <cellStyles count="2">
    <cellStyle name="Normal" xfId="0" builtinId="0"/>
    <cellStyle name="Yüzde" xfId="1" builtinId="5"/>
  </cellStyles>
  <dxfs count="2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analiz!$B$23</c:f>
              <c:strCache>
                <c:ptCount val="1"/>
                <c:pt idx="0">
                  <c:v>Hisse Başına Getiri 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analiz!$C$20:$F$20</c:f>
              <c:strCache>
                <c:ptCount val="4"/>
                <c:pt idx="0">
                  <c:v>2025/3</c:v>
                </c:pt>
                <c:pt idx="1">
                  <c:v>2024/12</c:v>
                </c:pt>
                <c:pt idx="2">
                  <c:v>2024/9</c:v>
                </c:pt>
                <c:pt idx="3">
                  <c:v>2024/6</c:v>
                </c:pt>
              </c:strCache>
            </c:strRef>
          </c:cat>
          <c:val>
            <c:numRef>
              <c:f>analiz!$C$23:$F$23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C9-471F-9D30-A9376A52245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8269680"/>
        <c:axId val="8266352"/>
        <c:axId val="0"/>
      </c:bar3DChart>
      <c:catAx>
        <c:axId val="8269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66352"/>
        <c:crosses val="autoZero"/>
        <c:auto val="1"/>
        <c:lblAlgn val="ctr"/>
        <c:lblOffset val="100"/>
        <c:noMultiLvlLbl val="0"/>
      </c:catAx>
      <c:valAx>
        <c:axId val="826635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826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analiz!$B$22</c:f>
              <c:strCache>
                <c:ptCount val="1"/>
                <c:pt idx="0">
                  <c:v>Aktif Kârlılık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analiz!$C$20:$F$20</c:f>
              <c:strCache>
                <c:ptCount val="4"/>
                <c:pt idx="0">
                  <c:v>2025/3</c:v>
                </c:pt>
                <c:pt idx="1">
                  <c:v>2024/12</c:v>
                </c:pt>
                <c:pt idx="2">
                  <c:v>2024/9</c:v>
                </c:pt>
                <c:pt idx="3">
                  <c:v>2024/6</c:v>
                </c:pt>
              </c:strCache>
            </c:strRef>
          </c:cat>
          <c:val>
            <c:numRef>
              <c:f>analiz!$C$22:$F$22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01-40FA-BEEA-423412036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2210896"/>
        <c:axId val="322211312"/>
      </c:lineChart>
      <c:catAx>
        <c:axId val="3222108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322211312"/>
        <c:crosses val="autoZero"/>
        <c:auto val="1"/>
        <c:lblAlgn val="ctr"/>
        <c:lblOffset val="100"/>
        <c:noMultiLvlLbl val="0"/>
      </c:catAx>
      <c:valAx>
        <c:axId val="32221131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32221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analiz!$B$21</c:f>
              <c:strCache>
                <c:ptCount val="1"/>
                <c:pt idx="0">
                  <c:v>Ekonomik Rantabilite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analiz!$C$20:$F$20</c:f>
              <c:strCache>
                <c:ptCount val="4"/>
                <c:pt idx="0">
                  <c:v>2025/3</c:v>
                </c:pt>
                <c:pt idx="1">
                  <c:v>2024/12</c:v>
                </c:pt>
                <c:pt idx="2">
                  <c:v>2024/9</c:v>
                </c:pt>
                <c:pt idx="3">
                  <c:v>2024/6</c:v>
                </c:pt>
              </c:strCache>
            </c:strRef>
          </c:cat>
          <c:val>
            <c:numRef>
              <c:f>analiz!$C$21:$F$21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71-4EC2-8044-63599A461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37975200"/>
        <c:axId val="137976864"/>
      </c:barChart>
      <c:catAx>
        <c:axId val="13797520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37976864"/>
        <c:crosses val="autoZero"/>
        <c:auto val="1"/>
        <c:lblAlgn val="ctr"/>
        <c:lblOffset val="100"/>
        <c:noMultiLvlLbl val="0"/>
      </c:catAx>
      <c:valAx>
        <c:axId val="13797686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3797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analiz!$B$13</c:f>
              <c:strCache>
                <c:ptCount val="1"/>
                <c:pt idx="0">
                  <c:v>Kaldıraç Oranı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analiz!$C$12:$F$12</c:f>
              <c:strCache>
                <c:ptCount val="4"/>
                <c:pt idx="0">
                  <c:v>2025/3</c:v>
                </c:pt>
                <c:pt idx="1">
                  <c:v>2024/12</c:v>
                </c:pt>
                <c:pt idx="2">
                  <c:v>2024/9</c:v>
                </c:pt>
                <c:pt idx="3">
                  <c:v>2024/6</c:v>
                </c:pt>
              </c:strCache>
            </c:strRef>
          </c:cat>
          <c:val>
            <c:numRef>
              <c:f>analiz!$C$13:$F$13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E7-4CBA-9142-955A7CCDB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2200912"/>
        <c:axId val="322205072"/>
      </c:lineChart>
      <c:catAx>
        <c:axId val="32220091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322205072"/>
        <c:crosses val="autoZero"/>
        <c:auto val="1"/>
        <c:lblAlgn val="ctr"/>
        <c:lblOffset val="100"/>
        <c:noMultiLvlLbl val="0"/>
      </c:catAx>
      <c:valAx>
        <c:axId val="3222050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32220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analiz!$B$14</c:f>
              <c:strCache>
                <c:ptCount val="1"/>
                <c:pt idx="0">
                  <c:v>Öz Kaynaklar Oranı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analiz!$C$12:$F$12</c:f>
              <c:strCache>
                <c:ptCount val="4"/>
                <c:pt idx="0">
                  <c:v>2025/3</c:v>
                </c:pt>
                <c:pt idx="1">
                  <c:v>2024/12</c:v>
                </c:pt>
                <c:pt idx="2">
                  <c:v>2024/9</c:v>
                </c:pt>
                <c:pt idx="3">
                  <c:v>2024/6</c:v>
                </c:pt>
              </c:strCache>
            </c:strRef>
          </c:cat>
          <c:val>
            <c:numRef>
              <c:f>analiz!$C$14:$F$14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C5-4486-90E0-DB4D575A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2193424"/>
        <c:axId val="322195088"/>
      </c:lineChart>
      <c:catAx>
        <c:axId val="3221934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322195088"/>
        <c:crosses val="autoZero"/>
        <c:auto val="1"/>
        <c:lblAlgn val="ctr"/>
        <c:lblOffset val="100"/>
        <c:noMultiLvlLbl val="0"/>
      </c:catAx>
      <c:valAx>
        <c:axId val="32219508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32219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analiz!$B$8</c:f>
              <c:strCache>
                <c:ptCount val="1"/>
                <c:pt idx="0">
                  <c:v>Stok Bağımlılık Oranı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analiz!$C$4:$F$4</c:f>
              <c:strCache>
                <c:ptCount val="4"/>
                <c:pt idx="0">
                  <c:v>2025/3</c:v>
                </c:pt>
                <c:pt idx="1">
                  <c:v>2024/12</c:v>
                </c:pt>
                <c:pt idx="2">
                  <c:v>2024/9</c:v>
                </c:pt>
                <c:pt idx="3">
                  <c:v>2024/6</c:v>
                </c:pt>
              </c:strCache>
            </c:strRef>
          </c:cat>
          <c:val>
            <c:numRef>
              <c:f>analiz!$C$8:$F$8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A0-42D2-9938-61C1D3E937B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378223552"/>
        <c:axId val="378221056"/>
        <c:axId val="0"/>
      </c:bar3DChart>
      <c:catAx>
        <c:axId val="3782235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378221056"/>
        <c:crosses val="autoZero"/>
        <c:auto val="1"/>
        <c:lblAlgn val="ctr"/>
        <c:lblOffset val="100"/>
        <c:noMultiLvlLbl val="0"/>
      </c:catAx>
      <c:valAx>
        <c:axId val="37822105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7822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541020</xdr:colOff>
      <xdr:row>0</xdr:row>
      <xdr:rowOff>106680</xdr:rowOff>
    </xdr:from>
    <xdr:to>
      <xdr:col>10</xdr:col>
      <xdr:colOff>548640</xdr:colOff>
      <xdr:row>7</xdr:row>
      <xdr:rowOff>53340</xdr:rowOff>
    </xdr:to>
    <xdr:pic macro="[0]!DosyaYukle_BasliklarGelsin">
      <xdr:nvPicPr>
        <xdr:cNvPr id="3" name="Resim 2" descr="Mengenal Tampilan dan Bagian Worksheet di Microsoft Excel ~ Blog Abdul ...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4540" y="106680"/>
          <a:ext cx="1226820" cy="122682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12700" dir="2700000" sy="-23000" kx="-800400" algn="bl" rotWithShape="0">
            <a:prstClr val="black">
              <a:alpha val="20000"/>
            </a:prst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oneCell">
    <xdr:from>
      <xdr:col>12</xdr:col>
      <xdr:colOff>114300</xdr:colOff>
      <xdr:row>0</xdr:row>
      <xdr:rowOff>99060</xdr:rowOff>
    </xdr:from>
    <xdr:to>
      <xdr:col>14</xdr:col>
      <xdr:colOff>377496</xdr:colOff>
      <xdr:row>8</xdr:row>
      <xdr:rowOff>105558</xdr:rowOff>
    </xdr:to>
    <xdr:pic macro="[0]!TablodakiVerileriSil_YapiKalsin">
      <xdr:nvPicPr>
        <xdr:cNvPr id="7" name="Resim 6" descr="Delete Button Picture Transparent HQ PNG Download | FreePNGimg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6220" y="99060"/>
          <a:ext cx="1482396" cy="1469538"/>
        </a:xfrm>
        <a:prstGeom prst="rect">
          <a:avLst/>
        </a:prstGeom>
      </xdr:spPr>
    </xdr:pic>
    <xdr:clientData/>
  </xdr:twoCellAnchor>
  <xdr:twoCellAnchor editAs="oneCell">
    <xdr:from>
      <xdr:col>15</xdr:col>
      <xdr:colOff>388620</xdr:colOff>
      <xdr:row>0</xdr:row>
      <xdr:rowOff>160020</xdr:rowOff>
    </xdr:from>
    <xdr:to>
      <xdr:col>17</xdr:col>
      <xdr:colOff>548640</xdr:colOff>
      <xdr:row>8</xdr:row>
      <xdr:rowOff>76200</xdr:rowOff>
    </xdr:to>
    <xdr:pic macro="[0]!PdfKaydet_AnalizSayfasi">
      <xdr:nvPicPr>
        <xdr:cNvPr id="8" name="Resim 7" descr="Pdf Miniature File - Free image on Pixabay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69340" y="160020"/>
          <a:ext cx="1379220" cy="13792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</xdr:colOff>
      <xdr:row>0</xdr:row>
      <xdr:rowOff>65405</xdr:rowOff>
    </xdr:from>
    <xdr:to>
      <xdr:col>11</xdr:col>
      <xdr:colOff>128905</xdr:colOff>
      <xdr:row>12</xdr:row>
      <xdr:rowOff>227330</xdr:rowOff>
    </xdr:to>
    <xdr:graphicFrame macro="">
      <xdr:nvGraphicFramePr>
        <xdr:cNvPr id="2" name="Grafik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29845</xdr:colOff>
      <xdr:row>13</xdr:row>
      <xdr:rowOff>102553</xdr:rowOff>
    </xdr:from>
    <xdr:to>
      <xdr:col>11</xdr:col>
      <xdr:colOff>136525</xdr:colOff>
      <xdr:row>26</xdr:row>
      <xdr:rowOff>122238</xdr:rowOff>
    </xdr:to>
    <xdr:graphicFrame macro="">
      <xdr:nvGraphicFramePr>
        <xdr:cNvPr id="5" name="Grafik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422910</xdr:colOff>
      <xdr:row>0</xdr:row>
      <xdr:rowOff>44768</xdr:rowOff>
    </xdr:from>
    <xdr:to>
      <xdr:col>19</xdr:col>
      <xdr:colOff>118110</xdr:colOff>
      <xdr:row>12</xdr:row>
      <xdr:rowOff>206693</xdr:rowOff>
    </xdr:to>
    <xdr:graphicFrame macro="">
      <xdr:nvGraphicFramePr>
        <xdr:cNvPr id="6" name="Grafik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413385</xdr:colOff>
      <xdr:row>13</xdr:row>
      <xdr:rowOff>131128</xdr:rowOff>
    </xdr:from>
    <xdr:to>
      <xdr:col>19</xdr:col>
      <xdr:colOff>108585</xdr:colOff>
      <xdr:row>26</xdr:row>
      <xdr:rowOff>145733</xdr:rowOff>
    </xdr:to>
    <xdr:graphicFrame macro="">
      <xdr:nvGraphicFramePr>
        <xdr:cNvPr id="7" name="Grafik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26670</xdr:colOff>
      <xdr:row>27</xdr:row>
      <xdr:rowOff>100013</xdr:rowOff>
    </xdr:from>
    <xdr:to>
      <xdr:col>11</xdr:col>
      <xdr:colOff>133350</xdr:colOff>
      <xdr:row>42</xdr:row>
      <xdr:rowOff>103188</xdr:rowOff>
    </xdr:to>
    <xdr:graphicFrame macro="">
      <xdr:nvGraphicFramePr>
        <xdr:cNvPr id="8" name="Grafik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455930</xdr:colOff>
      <xdr:row>27</xdr:row>
      <xdr:rowOff>144463</xdr:rowOff>
    </xdr:from>
    <xdr:to>
      <xdr:col>19</xdr:col>
      <xdr:colOff>151130</xdr:colOff>
      <xdr:row>42</xdr:row>
      <xdr:rowOff>144463</xdr:rowOff>
    </xdr:to>
    <xdr:graphicFrame macro="">
      <xdr:nvGraphicFramePr>
        <xdr:cNvPr id="9" name="Grafik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DışVeri_1" refreshOnLoad="1" connectionId="2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Column1" tableColumnId="1"/>
      <queryTableField id="2" name="Son" tableColumnId="2"/>
      <queryTableField id="3" name="Net" tableColumnId="3"/>
      <queryTableField id="4" name="%" tableColumnId="4"/>
    </queryTableFields>
  </queryTableRefresh>
</queryTable>
</file>

<file path=xl/queryTables/queryTable2.xml><?xml version="1.0" encoding="utf-8"?>
<queryTable xmlns="http://schemas.openxmlformats.org/spreadsheetml/2006/main" name="DışVeri_2" refreshOnLoad="1" connectionId="3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Column1" tableColumnId="1"/>
      <queryTableField id="2" name="Son" tableColumnId="2"/>
      <queryTableField id="3" name="Net" tableColumnId="3"/>
      <queryTableField id="4" name="%" tableColumnId="4"/>
    </queryTableFields>
  </queryTableRefresh>
</queryTable>
</file>

<file path=xl/queryTables/queryTable3.xml><?xml version="1.0" encoding="utf-8"?>
<queryTable xmlns="http://schemas.openxmlformats.org/spreadsheetml/2006/main" name="DışVeri_1" refreshOnLoad="1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Hisse" tableColumnId="1"/>
      <queryTableField id="2" name="Son" tableColumnId="2"/>
      <queryTableField id="3" name="Alış" tableColumnId="3"/>
      <queryTableField id="4" name="Satış" tableColumnId="4"/>
      <queryTableField id="5" name="Fark" tableColumnId="5"/>
      <queryTableField id="6" name="En Düşük" tableColumnId="6"/>
      <queryTableField id="7" name="En Yüksek" tableColumnId="7"/>
      <queryTableField id="8" name="AOF" tableColumnId="8"/>
      <queryTableField id="9" name="Hacim TL" tableColumnId="9"/>
      <queryTableField id="10" name="Hacim Lot" tableColumnId="1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FinansalTablo" displayName="FinansalTablo" ref="A1:E152" totalsRowShown="0">
  <autoFilter ref="A1:E152"/>
  <tableColumns count="5">
    <tableColumn id="1" name="Sütun1"/>
    <tableColumn id="2" name="2025/3"/>
    <tableColumn id="3" name="2024/12"/>
    <tableColumn id="4" name="2024/9"/>
    <tableColumn id="5" name="2024/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e_2__2" displayName="Table_2__2" ref="C26:F31" tableType="queryTable" totalsRowShown="0" headerRowDxfId="19">
  <tableColumns count="4">
    <tableColumn id="1" uniqueName="1" name="Column1" queryTableFieldId="1" dataDxfId="18"/>
    <tableColumn id="2" uniqueName="2" name="Son" queryTableFieldId="2" dataDxfId="17"/>
    <tableColumn id="3" uniqueName="3" name="Net" queryTableFieldId="3" dataDxfId="16"/>
    <tableColumn id="4" uniqueName="4" name="%" queryTableFieldId="4" dataDxfId="15" dataCellStyle="Yüzde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3" name="Table_3__2" displayName="Table_3__2" ref="C34:F39" tableType="queryTable" totalsRowShown="0" headerRowDxfId="14">
  <autoFilter ref="C34:F39"/>
  <tableColumns count="4">
    <tableColumn id="1" uniqueName="1" name="Column1" queryTableFieldId="1" dataDxfId="13"/>
    <tableColumn id="2" uniqueName="2" name="Son" queryTableFieldId="2" dataDxfId="12"/>
    <tableColumn id="3" uniqueName="3" name="Net" queryTableFieldId="3" dataDxfId="11"/>
    <tableColumn id="4" uniqueName="4" name="%" queryTableFieldId="4" dataDxfId="10" dataCellStyle="Yüzde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able_0" displayName="Table_0" ref="A1:J592" tableType="queryTable" totalsRowShown="0">
  <autoFilter ref="A1:J592"/>
  <tableColumns count="10">
    <tableColumn id="1" uniqueName="1" name="Hisse" queryTableFieldId="1" dataDxfId="9"/>
    <tableColumn id="2" uniqueName="2" name="Son" queryTableFieldId="2" dataDxfId="8"/>
    <tableColumn id="3" uniqueName="3" name="Alış" queryTableFieldId="3" dataDxfId="7"/>
    <tableColumn id="4" uniqueName="4" name="Satış" queryTableFieldId="4" dataDxfId="6"/>
    <tableColumn id="5" uniqueName="5" name="Fark" queryTableFieldId="5" dataDxfId="5"/>
    <tableColumn id="6" uniqueName="6" name="En Düşük" queryTableFieldId="6" dataDxfId="4"/>
    <tableColumn id="7" uniqueName="7" name="En Yüksek" queryTableFieldId="7" dataDxfId="3"/>
    <tableColumn id="8" uniqueName="8" name="AOF" queryTableFieldId="8" dataDxfId="2"/>
    <tableColumn id="9" uniqueName="9" name="Hacim TL" queryTableFieldId="9" dataDxfId="1"/>
    <tableColumn id="10" uniqueName="10" name="Hacim Lot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E413"/>
  <sheetViews>
    <sheetView zoomScale="80" zoomScaleNormal="80" workbookViewId="0">
      <selection activeCell="L16" sqref="L16"/>
    </sheetView>
  </sheetViews>
  <sheetFormatPr defaultRowHeight="14.4" x14ac:dyDescent="0.3"/>
  <cols>
    <col min="1" max="1" width="59.5546875" style="1" bestFit="1" customWidth="1"/>
    <col min="2" max="5" width="11.6640625" style="1" bestFit="1" customWidth="1"/>
  </cols>
  <sheetData>
    <row r="1" spans="1:5" x14ac:dyDescent="0.3">
      <c r="A1" t="s">
        <v>8</v>
      </c>
      <c r="B1" t="s">
        <v>0</v>
      </c>
      <c r="C1" t="s">
        <v>1</v>
      </c>
      <c r="D1" t="s">
        <v>2</v>
      </c>
      <c r="E1" t="s">
        <v>3</v>
      </c>
    </row>
    <row r="2" spans="1:5" x14ac:dyDescent="0.3">
      <c r="A2" s="4"/>
      <c r="B2" s="5"/>
      <c r="C2" s="5"/>
      <c r="D2" s="5"/>
      <c r="E2" s="5"/>
    </row>
    <row r="3" spans="1:5" x14ac:dyDescent="0.3">
      <c r="A3"/>
      <c r="B3" s="2"/>
      <c r="C3" s="2"/>
      <c r="D3" s="2"/>
      <c r="E3" s="2"/>
    </row>
    <row r="4" spans="1:5" x14ac:dyDescent="0.3">
      <c r="A4"/>
      <c r="B4" s="2"/>
      <c r="C4" s="2"/>
      <c r="D4" s="2"/>
      <c r="E4" s="2"/>
    </row>
    <row r="5" spans="1:5" x14ac:dyDescent="0.3">
      <c r="A5"/>
      <c r="B5"/>
      <c r="C5"/>
      <c r="D5"/>
      <c r="E5"/>
    </row>
    <row r="6" spans="1:5" x14ac:dyDescent="0.3">
      <c r="A6"/>
      <c r="B6"/>
      <c r="C6"/>
      <c r="D6"/>
      <c r="E6"/>
    </row>
    <row r="7" spans="1:5" x14ac:dyDescent="0.3">
      <c r="A7"/>
      <c r="B7"/>
      <c r="C7"/>
      <c r="D7"/>
      <c r="E7"/>
    </row>
    <row r="8" spans="1:5" x14ac:dyDescent="0.3">
      <c r="A8"/>
      <c r="B8"/>
      <c r="C8"/>
      <c r="D8"/>
      <c r="E8"/>
    </row>
    <row r="9" spans="1:5" x14ac:dyDescent="0.3">
      <c r="A9"/>
      <c r="B9"/>
      <c r="C9"/>
      <c r="D9"/>
      <c r="E9"/>
    </row>
    <row r="10" spans="1:5" x14ac:dyDescent="0.3">
      <c r="A10"/>
      <c r="B10"/>
      <c r="C10"/>
      <c r="D10"/>
      <c r="E10"/>
    </row>
    <row r="11" spans="1:5" x14ac:dyDescent="0.3">
      <c r="A11"/>
      <c r="B11"/>
      <c r="C11"/>
      <c r="D11"/>
      <c r="E11"/>
    </row>
    <row r="12" spans="1:5" x14ac:dyDescent="0.3">
      <c r="A12"/>
      <c r="B12"/>
      <c r="C12"/>
      <c r="D12"/>
      <c r="E12"/>
    </row>
    <row r="13" spans="1:5" x14ac:dyDescent="0.3">
      <c r="A13"/>
      <c r="B13"/>
      <c r="C13"/>
      <c r="D13"/>
      <c r="E13"/>
    </row>
    <row r="14" spans="1:5" x14ac:dyDescent="0.3">
      <c r="A14"/>
      <c r="B14"/>
      <c r="C14"/>
      <c r="D14"/>
      <c r="E14"/>
    </row>
    <row r="15" spans="1:5" x14ac:dyDescent="0.3">
      <c r="A15"/>
      <c r="B15"/>
      <c r="C15"/>
      <c r="D15"/>
      <c r="E15"/>
    </row>
    <row r="16" spans="1:5" x14ac:dyDescent="0.3">
      <c r="A16"/>
      <c r="B16"/>
      <c r="C16"/>
      <c r="D16"/>
      <c r="E16"/>
    </row>
    <row r="17" spans="1:5" x14ac:dyDescent="0.3">
      <c r="A17"/>
      <c r="B17"/>
      <c r="C17"/>
      <c r="D17"/>
      <c r="E17"/>
    </row>
    <row r="18" spans="1:5" x14ac:dyDescent="0.3">
      <c r="A18"/>
      <c r="B18"/>
      <c r="C18"/>
      <c r="D18"/>
      <c r="E18"/>
    </row>
    <row r="19" spans="1:5" x14ac:dyDescent="0.3">
      <c r="A19"/>
      <c r="B19"/>
      <c r="C19"/>
      <c r="D19"/>
      <c r="E19"/>
    </row>
    <row r="20" spans="1:5" x14ac:dyDescent="0.3">
      <c r="A20"/>
      <c r="B20"/>
      <c r="C20"/>
      <c r="D20"/>
      <c r="E20"/>
    </row>
    <row r="21" spans="1:5" x14ac:dyDescent="0.3">
      <c r="A21"/>
      <c r="B21"/>
      <c r="C21"/>
      <c r="D21"/>
      <c r="E21"/>
    </row>
    <row r="22" spans="1:5" x14ac:dyDescent="0.3">
      <c r="A22"/>
      <c r="B22"/>
      <c r="C22"/>
      <c r="D22"/>
      <c r="E22"/>
    </row>
    <row r="23" spans="1:5" x14ac:dyDescent="0.3">
      <c r="A23"/>
      <c r="B23"/>
      <c r="C23"/>
      <c r="D23"/>
      <c r="E23"/>
    </row>
    <row r="24" spans="1:5" x14ac:dyDescent="0.3">
      <c r="A24"/>
      <c r="B24"/>
      <c r="C24"/>
      <c r="D24"/>
      <c r="E24"/>
    </row>
    <row r="25" spans="1:5" x14ac:dyDescent="0.3">
      <c r="A25"/>
      <c r="B25"/>
      <c r="C25"/>
      <c r="D25"/>
      <c r="E25"/>
    </row>
    <row r="26" spans="1:5" x14ac:dyDescent="0.3">
      <c r="A26"/>
      <c r="B26"/>
      <c r="C26"/>
      <c r="D26"/>
      <c r="E26"/>
    </row>
    <row r="27" spans="1:5" x14ac:dyDescent="0.3">
      <c r="A27"/>
      <c r="B27"/>
      <c r="C27"/>
      <c r="D27"/>
      <c r="E27"/>
    </row>
    <row r="28" spans="1:5" x14ac:dyDescent="0.3">
      <c r="A28"/>
      <c r="B28"/>
      <c r="C28"/>
      <c r="D28"/>
      <c r="E28"/>
    </row>
    <row r="29" spans="1:5" x14ac:dyDescent="0.3">
      <c r="A29"/>
      <c r="B29"/>
      <c r="C29"/>
      <c r="D29"/>
      <c r="E29"/>
    </row>
    <row r="30" spans="1:5" x14ac:dyDescent="0.3">
      <c r="A30"/>
      <c r="B30"/>
      <c r="C30"/>
      <c r="D30"/>
      <c r="E30"/>
    </row>
    <row r="31" spans="1:5" x14ac:dyDescent="0.3">
      <c r="A31"/>
      <c r="B31"/>
      <c r="C31"/>
      <c r="D31"/>
      <c r="E31"/>
    </row>
    <row r="32" spans="1:5" x14ac:dyDescent="0.3">
      <c r="A32"/>
      <c r="B32"/>
      <c r="C32"/>
      <c r="D32"/>
      <c r="E32"/>
    </row>
    <row r="33" spans="1:5" x14ac:dyDescent="0.3">
      <c r="A33"/>
      <c r="B33"/>
      <c r="C33"/>
      <c r="D33"/>
      <c r="E33"/>
    </row>
    <row r="34" spans="1:5" x14ac:dyDescent="0.3">
      <c r="A34"/>
      <c r="B34"/>
      <c r="C34"/>
      <c r="D34"/>
      <c r="E34"/>
    </row>
    <row r="35" spans="1:5" x14ac:dyDescent="0.3">
      <c r="A35"/>
      <c r="B35"/>
      <c r="C35"/>
      <c r="D35"/>
      <c r="E35"/>
    </row>
    <row r="36" spans="1:5" x14ac:dyDescent="0.3">
      <c r="A36"/>
      <c r="B36"/>
      <c r="C36"/>
      <c r="D36"/>
      <c r="E36"/>
    </row>
    <row r="37" spans="1:5" x14ac:dyDescent="0.3">
      <c r="A37"/>
      <c r="B37"/>
      <c r="C37"/>
      <c r="D37"/>
      <c r="E37"/>
    </row>
    <row r="38" spans="1:5" x14ac:dyDescent="0.3">
      <c r="A38"/>
      <c r="B38"/>
      <c r="C38"/>
      <c r="D38"/>
      <c r="E38"/>
    </row>
    <row r="39" spans="1:5" x14ac:dyDescent="0.3">
      <c r="A39"/>
      <c r="B39"/>
      <c r="C39"/>
      <c r="D39"/>
      <c r="E39"/>
    </row>
    <row r="40" spans="1:5" x14ac:dyDescent="0.3">
      <c r="A40"/>
      <c r="B40"/>
      <c r="C40"/>
      <c r="D40"/>
      <c r="E40"/>
    </row>
    <row r="41" spans="1:5" x14ac:dyDescent="0.3">
      <c r="A41"/>
      <c r="B41"/>
      <c r="C41"/>
      <c r="D41"/>
      <c r="E41"/>
    </row>
    <row r="42" spans="1:5" x14ac:dyDescent="0.3">
      <c r="A42"/>
      <c r="B42"/>
      <c r="C42"/>
      <c r="D42"/>
      <c r="E42"/>
    </row>
    <row r="43" spans="1:5" x14ac:dyDescent="0.3">
      <c r="A43"/>
      <c r="B43"/>
      <c r="C43"/>
      <c r="D43"/>
      <c r="E43"/>
    </row>
    <row r="44" spans="1:5" x14ac:dyDescent="0.3">
      <c r="A44"/>
      <c r="B44"/>
      <c r="C44"/>
      <c r="D44"/>
      <c r="E44"/>
    </row>
    <row r="45" spans="1:5" x14ac:dyDescent="0.3">
      <c r="A45"/>
      <c r="B45"/>
      <c r="C45"/>
      <c r="D45"/>
      <c r="E45"/>
    </row>
    <row r="46" spans="1:5" x14ac:dyDescent="0.3">
      <c r="A46"/>
      <c r="B46"/>
      <c r="C46"/>
      <c r="D46"/>
      <c r="E46"/>
    </row>
    <row r="47" spans="1:5" x14ac:dyDescent="0.3">
      <c r="A47"/>
      <c r="B47"/>
      <c r="C47"/>
      <c r="D47"/>
      <c r="E47"/>
    </row>
    <row r="48" spans="1:5" x14ac:dyDescent="0.3">
      <c r="A48"/>
      <c r="B48"/>
      <c r="C48"/>
      <c r="D48"/>
      <c r="E48"/>
    </row>
    <row r="49" spans="1:5" x14ac:dyDescent="0.3">
      <c r="A49"/>
      <c r="B49"/>
      <c r="C49"/>
      <c r="D49"/>
      <c r="E49"/>
    </row>
    <row r="50" spans="1:5" x14ac:dyDescent="0.3">
      <c r="A50"/>
      <c r="B50"/>
      <c r="C50"/>
      <c r="D50"/>
      <c r="E50"/>
    </row>
    <row r="51" spans="1:5" x14ac:dyDescent="0.3">
      <c r="A51"/>
      <c r="B51"/>
      <c r="C51"/>
      <c r="D51"/>
      <c r="E51"/>
    </row>
    <row r="52" spans="1:5" x14ac:dyDescent="0.3">
      <c r="A52"/>
      <c r="B52"/>
      <c r="C52"/>
      <c r="D52"/>
      <c r="E52"/>
    </row>
    <row r="53" spans="1:5" x14ac:dyDescent="0.3">
      <c r="A53"/>
      <c r="B53"/>
      <c r="C53"/>
      <c r="D53"/>
      <c r="E53"/>
    </row>
    <row r="54" spans="1:5" x14ac:dyDescent="0.3">
      <c r="A54"/>
      <c r="B54"/>
      <c r="C54"/>
      <c r="D54"/>
      <c r="E54"/>
    </row>
    <row r="55" spans="1:5" x14ac:dyDescent="0.3">
      <c r="A55"/>
      <c r="B55"/>
      <c r="C55"/>
      <c r="D55"/>
      <c r="E55"/>
    </row>
    <row r="56" spans="1:5" x14ac:dyDescent="0.3">
      <c r="A56"/>
      <c r="B56"/>
      <c r="C56"/>
      <c r="D56"/>
      <c r="E56"/>
    </row>
    <row r="57" spans="1:5" x14ac:dyDescent="0.3">
      <c r="A57"/>
      <c r="B57"/>
      <c r="C57"/>
      <c r="D57"/>
      <c r="E57"/>
    </row>
    <row r="58" spans="1:5" x14ac:dyDescent="0.3">
      <c r="A58"/>
      <c r="B58"/>
      <c r="C58"/>
      <c r="D58"/>
      <c r="E58"/>
    </row>
    <row r="59" spans="1:5" x14ac:dyDescent="0.3">
      <c r="A59"/>
      <c r="B59"/>
      <c r="C59"/>
      <c r="D59"/>
      <c r="E59"/>
    </row>
    <row r="60" spans="1:5" x14ac:dyDescent="0.3">
      <c r="A60"/>
      <c r="B60"/>
      <c r="C60"/>
      <c r="D60"/>
      <c r="E60"/>
    </row>
    <row r="61" spans="1:5" x14ac:dyDescent="0.3">
      <c r="A61"/>
      <c r="B61"/>
      <c r="C61"/>
      <c r="D61"/>
      <c r="E61"/>
    </row>
    <row r="62" spans="1:5" x14ac:dyDescent="0.3">
      <c r="A62"/>
      <c r="B62"/>
      <c r="C62"/>
      <c r="D62"/>
      <c r="E62"/>
    </row>
    <row r="63" spans="1:5" x14ac:dyDescent="0.3">
      <c r="A63"/>
      <c r="B63"/>
      <c r="C63"/>
      <c r="D63"/>
      <c r="E63"/>
    </row>
    <row r="64" spans="1:5" x14ac:dyDescent="0.3">
      <c r="A64"/>
      <c r="B64"/>
      <c r="C64"/>
      <c r="D64"/>
      <c r="E64"/>
    </row>
    <row r="65" spans="1:5" x14ac:dyDescent="0.3">
      <c r="A65"/>
      <c r="B65"/>
      <c r="C65"/>
      <c r="D65"/>
      <c r="E65"/>
    </row>
    <row r="66" spans="1:5" x14ac:dyDescent="0.3">
      <c r="A66"/>
      <c r="B66"/>
      <c r="C66"/>
      <c r="D66"/>
      <c r="E66"/>
    </row>
    <row r="67" spans="1:5" x14ac:dyDescent="0.3">
      <c r="A67"/>
      <c r="B67"/>
      <c r="C67"/>
      <c r="D67"/>
      <c r="E67"/>
    </row>
    <row r="68" spans="1:5" x14ac:dyDescent="0.3">
      <c r="A68"/>
      <c r="B68"/>
      <c r="C68"/>
      <c r="D68"/>
      <c r="E68"/>
    </row>
    <row r="69" spans="1:5" x14ac:dyDescent="0.3">
      <c r="A69"/>
      <c r="B69"/>
      <c r="C69"/>
      <c r="D69"/>
      <c r="E69"/>
    </row>
    <row r="70" spans="1:5" x14ac:dyDescent="0.3">
      <c r="A70"/>
      <c r="B70"/>
      <c r="C70"/>
      <c r="D70"/>
      <c r="E70"/>
    </row>
    <row r="71" spans="1:5" x14ac:dyDescent="0.3">
      <c r="A71"/>
      <c r="B71"/>
      <c r="C71"/>
      <c r="D71"/>
      <c r="E71"/>
    </row>
    <row r="72" spans="1:5" x14ac:dyDescent="0.3">
      <c r="A72"/>
      <c r="B72"/>
      <c r="C72"/>
      <c r="D72"/>
      <c r="E72"/>
    </row>
    <row r="73" spans="1:5" x14ac:dyDescent="0.3">
      <c r="A73" s="4"/>
      <c r="B73" s="4"/>
      <c r="C73" s="4"/>
      <c r="D73" s="4"/>
      <c r="E73" s="4"/>
    </row>
    <row r="74" spans="1:5" x14ac:dyDescent="0.3">
      <c r="A74"/>
      <c r="B74"/>
      <c r="C74"/>
      <c r="D74"/>
      <c r="E74"/>
    </row>
    <row r="75" spans="1:5" x14ac:dyDescent="0.3">
      <c r="A75"/>
      <c r="B75"/>
      <c r="C75"/>
      <c r="D75"/>
      <c r="E75"/>
    </row>
    <row r="76" spans="1:5" x14ac:dyDescent="0.3">
      <c r="A76"/>
      <c r="B76"/>
      <c r="C76"/>
      <c r="D76"/>
      <c r="E76"/>
    </row>
    <row r="77" spans="1:5" x14ac:dyDescent="0.3">
      <c r="A77"/>
      <c r="B77"/>
      <c r="C77"/>
      <c r="D77"/>
      <c r="E77"/>
    </row>
    <row r="78" spans="1:5" x14ac:dyDescent="0.3">
      <c r="A78"/>
      <c r="B78"/>
      <c r="C78"/>
      <c r="D78"/>
      <c r="E78"/>
    </row>
    <row r="79" spans="1:5" x14ac:dyDescent="0.3">
      <c r="A79"/>
      <c r="B79"/>
      <c r="C79"/>
      <c r="D79"/>
      <c r="E79"/>
    </row>
    <row r="80" spans="1:5" x14ac:dyDescent="0.3">
      <c r="A80"/>
      <c r="B80"/>
      <c r="C80"/>
      <c r="D80"/>
      <c r="E80"/>
    </row>
    <row r="81" spans="1:5" x14ac:dyDescent="0.3">
      <c r="A81"/>
      <c r="B81"/>
      <c r="C81"/>
      <c r="D81"/>
      <c r="E81"/>
    </row>
    <row r="82" spans="1:5" x14ac:dyDescent="0.3">
      <c r="A82"/>
      <c r="B82"/>
      <c r="C82"/>
      <c r="D82"/>
      <c r="E82"/>
    </row>
    <row r="83" spans="1:5" x14ac:dyDescent="0.3">
      <c r="A83"/>
      <c r="B83"/>
      <c r="C83"/>
      <c r="D83"/>
      <c r="E83"/>
    </row>
    <row r="84" spans="1:5" x14ac:dyDescent="0.3">
      <c r="A84"/>
      <c r="B84"/>
      <c r="C84"/>
      <c r="D84"/>
      <c r="E84"/>
    </row>
    <row r="85" spans="1:5" x14ac:dyDescent="0.3">
      <c r="A85"/>
      <c r="B85"/>
      <c r="C85"/>
      <c r="D85"/>
      <c r="E85"/>
    </row>
    <row r="86" spans="1:5" x14ac:dyDescent="0.3">
      <c r="A86"/>
      <c r="B86"/>
      <c r="C86"/>
      <c r="D86"/>
      <c r="E86"/>
    </row>
    <row r="87" spans="1:5" x14ac:dyDescent="0.3">
      <c r="A87"/>
      <c r="B87"/>
      <c r="C87"/>
      <c r="D87"/>
      <c r="E87"/>
    </row>
    <row r="88" spans="1:5" x14ac:dyDescent="0.3">
      <c r="A88"/>
      <c r="B88"/>
      <c r="C88"/>
      <c r="D88"/>
      <c r="E88"/>
    </row>
    <row r="89" spans="1:5" x14ac:dyDescent="0.3">
      <c r="A89"/>
      <c r="B89"/>
      <c r="C89"/>
      <c r="D89"/>
      <c r="E89"/>
    </row>
    <row r="90" spans="1:5" x14ac:dyDescent="0.3">
      <c r="A90"/>
      <c r="B90"/>
      <c r="C90"/>
      <c r="D90"/>
      <c r="E90"/>
    </row>
    <row r="91" spans="1:5" x14ac:dyDescent="0.3">
      <c r="A91"/>
      <c r="B91"/>
      <c r="C91"/>
      <c r="D91"/>
      <c r="E91"/>
    </row>
    <row r="92" spans="1:5" x14ac:dyDescent="0.3">
      <c r="A92"/>
      <c r="B92"/>
      <c r="C92"/>
      <c r="D92"/>
      <c r="E92"/>
    </row>
    <row r="93" spans="1:5" x14ac:dyDescent="0.3">
      <c r="A93"/>
      <c r="B93"/>
      <c r="C93"/>
      <c r="D93"/>
      <c r="E93"/>
    </row>
    <row r="94" spans="1:5" x14ac:dyDescent="0.3">
      <c r="A94"/>
      <c r="B94"/>
      <c r="C94"/>
      <c r="D94"/>
      <c r="E94"/>
    </row>
    <row r="95" spans="1:5" x14ac:dyDescent="0.3">
      <c r="A95"/>
      <c r="B95"/>
      <c r="C95"/>
      <c r="D95"/>
      <c r="E95"/>
    </row>
    <row r="96" spans="1:5" x14ac:dyDescent="0.3">
      <c r="A96"/>
      <c r="B96"/>
      <c r="C96"/>
      <c r="D96"/>
      <c r="E96"/>
    </row>
    <row r="97" spans="1:5" x14ac:dyDescent="0.3">
      <c r="A97"/>
      <c r="B97"/>
      <c r="C97"/>
      <c r="D97"/>
      <c r="E97"/>
    </row>
    <row r="98" spans="1:5" x14ac:dyDescent="0.3">
      <c r="A98"/>
      <c r="B98"/>
      <c r="C98"/>
      <c r="D98"/>
      <c r="E98"/>
    </row>
    <row r="99" spans="1:5" x14ac:dyDescent="0.3">
      <c r="A99"/>
      <c r="B99"/>
      <c r="C99"/>
      <c r="D99"/>
      <c r="E99"/>
    </row>
    <row r="100" spans="1:5" x14ac:dyDescent="0.3">
      <c r="A100"/>
      <c r="B100"/>
      <c r="C100"/>
      <c r="D100"/>
      <c r="E100"/>
    </row>
    <row r="101" spans="1:5" x14ac:dyDescent="0.3">
      <c r="A101"/>
      <c r="B101"/>
      <c r="C101"/>
      <c r="D101"/>
      <c r="E101"/>
    </row>
    <row r="102" spans="1:5" x14ac:dyDescent="0.3">
      <c r="A102"/>
      <c r="B102"/>
      <c r="C102"/>
      <c r="D102"/>
      <c r="E102"/>
    </row>
    <row r="103" spans="1:5" x14ac:dyDescent="0.3">
      <c r="A103"/>
      <c r="B103"/>
      <c r="C103"/>
      <c r="D103"/>
      <c r="E103"/>
    </row>
    <row r="104" spans="1:5" x14ac:dyDescent="0.3">
      <c r="A104"/>
      <c r="B104"/>
      <c r="C104"/>
      <c r="D104"/>
      <c r="E104"/>
    </row>
    <row r="105" spans="1:5" x14ac:dyDescent="0.3">
      <c r="A105"/>
      <c r="B105"/>
      <c r="C105"/>
      <c r="D105"/>
      <c r="E105"/>
    </row>
    <row r="106" spans="1:5" x14ac:dyDescent="0.3">
      <c r="A106"/>
      <c r="B106"/>
      <c r="C106"/>
      <c r="D106"/>
      <c r="E106"/>
    </row>
    <row r="107" spans="1:5" x14ac:dyDescent="0.3">
      <c r="A107"/>
      <c r="B107"/>
      <c r="C107"/>
      <c r="D107"/>
      <c r="E107"/>
    </row>
    <row r="108" spans="1:5" x14ac:dyDescent="0.3">
      <c r="A108"/>
      <c r="B108"/>
      <c r="C108"/>
      <c r="D108"/>
      <c r="E108"/>
    </row>
    <row r="109" spans="1:5" x14ac:dyDescent="0.3">
      <c r="A109"/>
      <c r="B109"/>
      <c r="C109"/>
      <c r="D109"/>
      <c r="E109"/>
    </row>
    <row r="110" spans="1:5" x14ac:dyDescent="0.3">
      <c r="A110"/>
      <c r="B110"/>
      <c r="C110"/>
      <c r="D110"/>
      <c r="E110"/>
    </row>
    <row r="111" spans="1:5" x14ac:dyDescent="0.3">
      <c r="A111"/>
      <c r="B111"/>
      <c r="C111"/>
      <c r="D111"/>
      <c r="E111"/>
    </row>
    <row r="112" spans="1:5" x14ac:dyDescent="0.3">
      <c r="A112"/>
      <c r="B112"/>
      <c r="C112"/>
      <c r="D112"/>
      <c r="E112"/>
    </row>
    <row r="113" spans="1:5" x14ac:dyDescent="0.3">
      <c r="A113"/>
      <c r="B113"/>
      <c r="C113"/>
      <c r="D113"/>
      <c r="E113"/>
    </row>
    <row r="114" spans="1:5" x14ac:dyDescent="0.3">
      <c r="A114"/>
      <c r="B114"/>
      <c r="C114"/>
      <c r="D114"/>
      <c r="E114"/>
    </row>
    <row r="115" spans="1:5" x14ac:dyDescent="0.3">
      <c r="A115"/>
      <c r="B115"/>
      <c r="C115"/>
      <c r="D115"/>
      <c r="E115"/>
    </row>
    <row r="116" spans="1:5" x14ac:dyDescent="0.3">
      <c r="A116"/>
      <c r="B116"/>
      <c r="C116"/>
      <c r="D116"/>
      <c r="E116"/>
    </row>
    <row r="117" spans="1:5" x14ac:dyDescent="0.3">
      <c r="A117" s="4"/>
      <c r="B117" s="4"/>
      <c r="C117" s="4"/>
      <c r="D117" s="4"/>
      <c r="E117" s="4"/>
    </row>
    <row r="118" spans="1:5" x14ac:dyDescent="0.3">
      <c r="A118"/>
      <c r="B118"/>
      <c r="C118"/>
      <c r="D118"/>
      <c r="E118"/>
    </row>
    <row r="119" spans="1:5" x14ac:dyDescent="0.3">
      <c r="A119"/>
      <c r="B119"/>
      <c r="C119"/>
      <c r="D119"/>
      <c r="E119"/>
    </row>
    <row r="120" spans="1:5" x14ac:dyDescent="0.3">
      <c r="A120"/>
      <c r="B120"/>
      <c r="C120"/>
      <c r="D120"/>
      <c r="E120"/>
    </row>
    <row r="121" spans="1:5" x14ac:dyDescent="0.3">
      <c r="A121"/>
      <c r="B121"/>
      <c r="C121"/>
      <c r="D121"/>
      <c r="E121"/>
    </row>
    <row r="122" spans="1:5" x14ac:dyDescent="0.3">
      <c r="A122"/>
      <c r="B122"/>
      <c r="C122"/>
      <c r="D122"/>
      <c r="E122"/>
    </row>
    <row r="123" spans="1:5" x14ac:dyDescent="0.3">
      <c r="A123"/>
      <c r="B123"/>
      <c r="C123"/>
      <c r="D123"/>
      <c r="E123"/>
    </row>
    <row r="124" spans="1:5" x14ac:dyDescent="0.3">
      <c r="A124"/>
      <c r="B124"/>
      <c r="C124"/>
      <c r="D124"/>
      <c r="E124"/>
    </row>
    <row r="125" spans="1:5" x14ac:dyDescent="0.3">
      <c r="A125"/>
      <c r="B125"/>
      <c r="C125"/>
      <c r="D125"/>
      <c r="E125"/>
    </row>
    <row r="126" spans="1:5" x14ac:dyDescent="0.3">
      <c r="A126" s="4"/>
      <c r="B126" s="4"/>
      <c r="C126" s="4"/>
      <c r="D126" s="4"/>
      <c r="E126" s="4"/>
    </row>
    <row r="127" spans="1:5" x14ac:dyDescent="0.3">
      <c r="A127"/>
      <c r="B127"/>
      <c r="C127"/>
      <c r="D127"/>
      <c r="E127"/>
    </row>
    <row r="128" spans="1:5" x14ac:dyDescent="0.3">
      <c r="A128"/>
      <c r="B128"/>
      <c r="C128"/>
      <c r="D128"/>
      <c r="E128"/>
    </row>
    <row r="129" spans="1:5" x14ac:dyDescent="0.3">
      <c r="A129"/>
      <c r="B129"/>
      <c r="C129"/>
      <c r="D129"/>
      <c r="E129"/>
    </row>
    <row r="130" spans="1:5" x14ac:dyDescent="0.3">
      <c r="A130"/>
      <c r="B130"/>
      <c r="C130"/>
      <c r="D130"/>
      <c r="E130"/>
    </row>
    <row r="131" spans="1:5" x14ac:dyDescent="0.3">
      <c r="A131"/>
      <c r="B131"/>
      <c r="C131"/>
      <c r="D131"/>
      <c r="E131"/>
    </row>
    <row r="132" spans="1:5" x14ac:dyDescent="0.3">
      <c r="A132"/>
      <c r="B132"/>
      <c r="C132"/>
      <c r="D132"/>
      <c r="E132"/>
    </row>
    <row r="133" spans="1:5" x14ac:dyDescent="0.3">
      <c r="A133"/>
      <c r="B133"/>
      <c r="C133"/>
      <c r="D133"/>
      <c r="E133"/>
    </row>
    <row r="134" spans="1:5" x14ac:dyDescent="0.3">
      <c r="A134"/>
      <c r="B134"/>
      <c r="C134"/>
      <c r="D134"/>
      <c r="E134"/>
    </row>
    <row r="135" spans="1:5" x14ac:dyDescent="0.3">
      <c r="A135"/>
      <c r="B135"/>
      <c r="C135"/>
      <c r="D135"/>
      <c r="E135"/>
    </row>
    <row r="136" spans="1:5" x14ac:dyDescent="0.3">
      <c r="A136"/>
      <c r="B136"/>
      <c r="C136"/>
      <c r="D136"/>
      <c r="E136"/>
    </row>
    <row r="137" spans="1:5" x14ac:dyDescent="0.3">
      <c r="A137"/>
      <c r="B137"/>
      <c r="C137"/>
      <c r="D137"/>
      <c r="E137"/>
    </row>
    <row r="138" spans="1:5" x14ac:dyDescent="0.3">
      <c r="A138"/>
      <c r="B138"/>
      <c r="C138"/>
      <c r="D138"/>
      <c r="E138"/>
    </row>
    <row r="139" spans="1:5" x14ac:dyDescent="0.3">
      <c r="A139"/>
      <c r="B139"/>
      <c r="C139"/>
      <c r="D139"/>
      <c r="E139"/>
    </row>
    <row r="140" spans="1:5" x14ac:dyDescent="0.3">
      <c r="A140"/>
      <c r="B140"/>
      <c r="C140"/>
      <c r="D140"/>
      <c r="E140"/>
    </row>
    <row r="141" spans="1:5" x14ac:dyDescent="0.3">
      <c r="A141"/>
      <c r="B141"/>
      <c r="C141"/>
      <c r="D141"/>
      <c r="E141"/>
    </row>
    <row r="142" spans="1:5" x14ac:dyDescent="0.3">
      <c r="A142"/>
      <c r="B142"/>
      <c r="C142"/>
      <c r="D142"/>
      <c r="E142"/>
    </row>
    <row r="143" spans="1:5" x14ac:dyDescent="0.3">
      <c r="A143"/>
      <c r="B143"/>
      <c r="C143"/>
      <c r="D143"/>
      <c r="E143"/>
    </row>
    <row r="144" spans="1:5" x14ac:dyDescent="0.3">
      <c r="A144"/>
      <c r="B144"/>
      <c r="C144"/>
      <c r="D144"/>
      <c r="E144"/>
    </row>
    <row r="145" spans="1:5" x14ac:dyDescent="0.3">
      <c r="A145"/>
      <c r="B145"/>
      <c r="C145"/>
      <c r="D145"/>
      <c r="E145"/>
    </row>
    <row r="146" spans="1:5" x14ac:dyDescent="0.3">
      <c r="A146"/>
      <c r="B146"/>
      <c r="C146"/>
      <c r="D146"/>
      <c r="E146"/>
    </row>
    <row r="147" spans="1:5" x14ac:dyDescent="0.3">
      <c r="A147"/>
      <c r="B147"/>
      <c r="C147"/>
      <c r="D147"/>
      <c r="E147"/>
    </row>
    <row r="148" spans="1:5" x14ac:dyDescent="0.3">
      <c r="A148"/>
      <c r="B148"/>
      <c r="C148"/>
      <c r="D148"/>
      <c r="E148"/>
    </row>
    <row r="149" spans="1:5" x14ac:dyDescent="0.3">
      <c r="A149"/>
      <c r="B149"/>
      <c r="C149"/>
      <c r="D149"/>
      <c r="E149"/>
    </row>
    <row r="150" spans="1:5" x14ac:dyDescent="0.3">
      <c r="A150"/>
      <c r="B150"/>
      <c r="C150"/>
      <c r="D150"/>
      <c r="E150"/>
    </row>
    <row r="151" spans="1:5" x14ac:dyDescent="0.3">
      <c r="A151"/>
      <c r="B151"/>
      <c r="C151"/>
      <c r="D151"/>
      <c r="E151"/>
    </row>
    <row r="152" spans="1:5" x14ac:dyDescent="0.3">
      <c r="A152"/>
      <c r="B152"/>
      <c r="C152"/>
      <c r="D152"/>
      <c r="E152"/>
    </row>
    <row r="153" spans="1:5" x14ac:dyDescent="0.3">
      <c r="A153"/>
      <c r="B153"/>
      <c r="C153"/>
      <c r="D153"/>
      <c r="E153"/>
    </row>
    <row r="154" spans="1:5" x14ac:dyDescent="0.3">
      <c r="A154"/>
      <c r="B154"/>
      <c r="C154"/>
      <c r="D154"/>
      <c r="E154"/>
    </row>
    <row r="155" spans="1:5" x14ac:dyDescent="0.3">
      <c r="A155"/>
      <c r="B155"/>
      <c r="C155"/>
      <c r="D155"/>
      <c r="E155"/>
    </row>
    <row r="412" spans="1:5" x14ac:dyDescent="0.3">
      <c r="A412" s="10"/>
      <c r="B412" s="10"/>
      <c r="C412" s="10"/>
      <c r="D412" s="10"/>
      <c r="E412" s="10"/>
    </row>
    <row r="413" spans="1:5" x14ac:dyDescent="0.3">
      <c r="A413" s="3"/>
      <c r="B413" s="3"/>
      <c r="C413" s="3"/>
      <c r="D413" s="3"/>
      <c r="E413" s="3"/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4">
    <pageSetUpPr fitToPage="1"/>
  </sheetPr>
  <dimension ref="B1:G39"/>
  <sheetViews>
    <sheetView showGridLines="0" tabSelected="1" zoomScale="50" zoomScaleNormal="50" workbookViewId="0">
      <selection activeCell="B28" sqref="B28"/>
    </sheetView>
  </sheetViews>
  <sheetFormatPr defaultRowHeight="14.4" x14ac:dyDescent="0.3"/>
  <cols>
    <col min="1" max="1" width="29.33203125" customWidth="1"/>
    <col min="2" max="2" width="28.44140625" bestFit="1" customWidth="1"/>
    <col min="3" max="3" width="8.5546875" customWidth="1"/>
    <col min="4" max="4" width="7" customWidth="1"/>
    <col min="5" max="5" width="6" customWidth="1"/>
    <col min="6" max="6" width="7" customWidth="1"/>
    <col min="7" max="7" width="47.33203125" bestFit="1" customWidth="1"/>
    <col min="8" max="8" width="7.88671875" customWidth="1"/>
    <col min="9" max="9" width="47.33203125" bestFit="1" customWidth="1"/>
  </cols>
  <sheetData>
    <row r="1" spans="2:7" ht="21" customHeight="1" x14ac:dyDescent="0.3">
      <c r="B1" s="21" t="s">
        <v>658</v>
      </c>
      <c r="C1" s="28" t="s">
        <v>659</v>
      </c>
      <c r="D1" s="29"/>
      <c r="E1" s="29"/>
      <c r="F1" s="30"/>
      <c r="G1" s="16"/>
    </row>
    <row r="2" spans="2:7" ht="17.399999999999999" customHeight="1" thickBot="1" x14ac:dyDescent="0.35">
      <c r="B2" s="22" t="e">
        <f>VLOOKUP(B1,Bist!A:J,3,0)</f>
        <v>#N/A</v>
      </c>
      <c r="C2" s="31"/>
      <c r="D2" s="32"/>
      <c r="E2" s="32"/>
      <c r="F2" s="33"/>
      <c r="G2" s="17">
        <f ca="1">NOW()</f>
        <v>45808.525556597226</v>
      </c>
    </row>
    <row r="3" spans="2:7" ht="18" thickBot="1" x14ac:dyDescent="0.5">
      <c r="B3" s="34" t="s">
        <v>19</v>
      </c>
      <c r="C3" s="35"/>
      <c r="D3" s="35"/>
      <c r="E3" s="35"/>
      <c r="F3" s="36"/>
      <c r="G3" s="11" t="str">
        <f>CONCATENATE(C4,", dönemi ile ilgi oransal yorumlar")</f>
        <v>2025/3, dönemi ile ilgi oransal yorumlar</v>
      </c>
    </row>
    <row r="4" spans="2:7" ht="15" thickBot="1" x14ac:dyDescent="0.35">
      <c r="B4" s="6"/>
      <c r="C4" s="9" t="str">
        <f>veri!B1</f>
        <v>2025/3</v>
      </c>
      <c r="D4" s="9" t="str">
        <f>veri!C1</f>
        <v>2024/12</v>
      </c>
      <c r="E4" s="9" t="str">
        <f>veri!D1</f>
        <v>2024/9</v>
      </c>
      <c r="F4" s="9" t="str">
        <f>veri!E1</f>
        <v>2024/6</v>
      </c>
      <c r="G4" s="6"/>
    </row>
    <row r="5" spans="2:7" ht="18" thickBot="1" x14ac:dyDescent="0.5">
      <c r="B5" s="8" t="s">
        <v>4</v>
      </c>
      <c r="C5" s="12" t="e">
        <f>veri!B3/veri!B33</f>
        <v>#DIV/0!</v>
      </c>
      <c r="D5" s="12" t="e">
        <f>veri!C3/veri!C33</f>
        <v>#DIV/0!</v>
      </c>
      <c r="E5" s="12" t="e">
        <f>veri!D3/veri!D33</f>
        <v>#DIV/0!</v>
      </c>
      <c r="F5" s="12" t="e">
        <f>veri!E3/veri!E33</f>
        <v>#DIV/0!</v>
      </c>
      <c r="G5" s="6" t="e">
        <f>IF(C5&gt;2,"Mükemmel likidite yapısı",
IF(C5&gt;1,"Kabul edilebilir düzeyde",
"Yetersiz likidite, riskli"))</f>
        <v>#DIV/0!</v>
      </c>
    </row>
    <row r="6" spans="2:7" ht="18" thickBot="1" x14ac:dyDescent="0.5">
      <c r="B6" s="8" t="s">
        <v>5</v>
      </c>
      <c r="C6" s="15" t="e">
        <f>(veri!B3-veri!B10)/veri!B33</f>
        <v>#DIV/0!</v>
      </c>
      <c r="D6" s="15" t="e">
        <f>(veri!C3-veri!C10)/veri!C33</f>
        <v>#DIV/0!</v>
      </c>
      <c r="E6" s="15" t="e">
        <f>(veri!D3-veri!D10)/veri!D33</f>
        <v>#DIV/0!</v>
      </c>
      <c r="F6" s="15" t="e">
        <f>(veri!E3-veri!E10)/veri!E33</f>
        <v>#DIV/0!</v>
      </c>
      <c r="G6" s="6" t="e">
        <f>IF(C6&gt;1,"Şirket kısa vadeli borçlarını stok hariç varlıklarla ödeyebilir.","Şirketin likit varlıkları yetersiz, riskli.")</f>
        <v>#DIV/0!</v>
      </c>
    </row>
    <row r="7" spans="2:7" ht="18" thickBot="1" x14ac:dyDescent="0.5">
      <c r="B7" s="8" t="s">
        <v>6</v>
      </c>
      <c r="C7" s="15" t="e">
        <f>veri!B4/veri!B33</f>
        <v>#DIV/0!</v>
      </c>
      <c r="D7" s="15" t="e">
        <f>veri!C4/veri!C33</f>
        <v>#DIV/0!</v>
      </c>
      <c r="E7" s="15" t="e">
        <f>veri!D4/veri!D33</f>
        <v>#DIV/0!</v>
      </c>
      <c r="F7" s="15" t="e">
        <f>veri!E4/veri!E33</f>
        <v>#DIV/0!</v>
      </c>
      <c r="G7" s="6" t="e">
        <f>IF(C7&gt;1,"Nakit ve menkul kıymetlerle tüm borçlar ödenebilir.",
IF(C7&gt;0,"Kısmen yeterli, likidite riski var.",
"Nakit yetersiz, kısa vadeli risk yüksek."))</f>
        <v>#DIV/0!</v>
      </c>
    </row>
    <row r="8" spans="2:7" ht="18" thickBot="1" x14ac:dyDescent="0.5">
      <c r="B8" s="8" t="s">
        <v>7</v>
      </c>
      <c r="C8" s="15" t="e">
        <f>(veri!B33-veri!B4)/veri!B10</f>
        <v>#DIV/0!</v>
      </c>
      <c r="D8" s="12" t="e">
        <f>(veri!C33-veri!C4)/veri!C10</f>
        <v>#DIV/0!</v>
      </c>
      <c r="E8" s="12" t="e">
        <f>(veri!D33-veri!D4)/veri!D10</f>
        <v>#DIV/0!</v>
      </c>
      <c r="F8" s="12" t="e">
        <f>(veri!E33-veri!E4)/veri!E10</f>
        <v>#DIV/0!</v>
      </c>
      <c r="G8" s="6" t="e">
        <f>IF(C8&lt;1,"Stok bağımlılığı düşük, borçlar likit varlıklarla ödenebilir.",
IF(C8=1,"Stok satışına tam bağımlı, sınırda seviye.",
"Stoklara aşırı bağımlı, likidite riski yüksek."))</f>
        <v>#DIV/0!</v>
      </c>
    </row>
    <row r="10" spans="2:7" ht="15" thickBot="1" x14ac:dyDescent="0.35"/>
    <row r="11" spans="2:7" ht="18" thickBot="1" x14ac:dyDescent="0.5">
      <c r="B11" s="34" t="s">
        <v>9</v>
      </c>
      <c r="C11" s="34"/>
      <c r="D11" s="34"/>
      <c r="E11" s="34"/>
      <c r="F11" s="37"/>
      <c r="G11" s="11" t="str">
        <f>CONCATENATE(C12,", dönemi ile ilgi oransal yorumlar")</f>
        <v>2025/3, dönemi ile ilgi oransal yorumlar</v>
      </c>
    </row>
    <row r="12" spans="2:7" ht="15" thickBot="1" x14ac:dyDescent="0.35">
      <c r="B12" s="6"/>
      <c r="C12" s="9" t="str">
        <f>veri!B1</f>
        <v>2025/3</v>
      </c>
      <c r="D12" s="9" t="str">
        <f>veri!C1</f>
        <v>2024/12</v>
      </c>
      <c r="E12" s="9" t="str">
        <f>veri!D1</f>
        <v>2024/9</v>
      </c>
      <c r="F12" s="9" t="str">
        <f>veri!E1</f>
        <v>2024/6</v>
      </c>
      <c r="G12" s="6"/>
    </row>
    <row r="13" spans="2:7" ht="18" thickBot="1" x14ac:dyDescent="0.5">
      <c r="B13" s="8" t="s">
        <v>10</v>
      </c>
      <c r="C13" s="14" t="e">
        <f>(veri!B33+veri!B47)/veri!B72</f>
        <v>#DIV/0!</v>
      </c>
      <c r="D13" s="14" t="e">
        <f>(veri!C33+veri!C47)/veri!C72</f>
        <v>#DIV/0!</v>
      </c>
      <c r="E13" s="14" t="e">
        <f>(veri!D33+veri!D47)/veri!D72</f>
        <v>#DIV/0!</v>
      </c>
      <c r="F13" s="14" t="e">
        <f>(veri!E33+veri!E47)/veri!E72</f>
        <v>#DIV/0!</v>
      </c>
      <c r="G13" s="6" t="e">
        <f>IF(C13&lt;0.5,"Düşük kaldıraç oranı, finansal yapı güçlü.",
IF(C13=0.5,"Kaldıraç oranı dengeli.",
"Borç oranı yüksek, finansal risk artabilir."))</f>
        <v>#DIV/0!</v>
      </c>
    </row>
    <row r="14" spans="2:7" ht="18" thickBot="1" x14ac:dyDescent="0.5">
      <c r="B14" s="8" t="s">
        <v>11</v>
      </c>
      <c r="C14" s="13" t="e">
        <f>veri!B60/veri!B72</f>
        <v>#DIV/0!</v>
      </c>
      <c r="D14" s="13" t="e">
        <f>veri!C60/veri!C72</f>
        <v>#DIV/0!</v>
      </c>
      <c r="E14" s="13" t="e">
        <f>veri!D60/veri!D72</f>
        <v>#DIV/0!</v>
      </c>
      <c r="F14" s="13" t="e">
        <f>veri!E60/veri!E72</f>
        <v>#DIV/0!</v>
      </c>
      <c r="G14" s="6" t="e">
        <f>IF(C14&gt;0.5,"Özkaynak yapısı güçlü.",
IF(C14&gt;0.3,"Orta düzeyde özkaynak var.",
"Özkaynaklar yetersiz, borç ağırlıklı finansman."))</f>
        <v>#DIV/0!</v>
      </c>
    </row>
    <row r="15" spans="2:7" ht="18" thickBot="1" x14ac:dyDescent="0.5">
      <c r="B15" s="8" t="s">
        <v>12</v>
      </c>
      <c r="C15" s="15" t="e">
        <f>(veri!B67-veri!B68)/veri!B62</f>
        <v>#DIV/0!</v>
      </c>
      <c r="D15" s="15" t="e">
        <f>(veri!C67-veri!C68)/veri!C62</f>
        <v>#DIV/0!</v>
      </c>
      <c r="E15" s="15" t="e">
        <f>(veri!D67-veri!D68)/veri!D62</f>
        <v>#DIV/0!</v>
      </c>
      <c r="F15" s="15" t="e">
        <f>(veri!E67-veri!E68)/veri!E62</f>
        <v>#DIV/0!</v>
      </c>
      <c r="G15" s="6" t="e">
        <f>IF(C15&gt;0,"Şirket geçmiş kârlardan öz kaynak oluşturuyor.",
IF(C15=0,"Otofinansman etkisiz, kâr veya zarar birikmemiş.",
"Geçmiş zararlar mevcut, otofinansman negatif."))</f>
        <v>#DIV/0!</v>
      </c>
    </row>
    <row r="16" spans="2:7" ht="18" thickBot="1" x14ac:dyDescent="0.5">
      <c r="B16" s="8" t="s">
        <v>13</v>
      </c>
      <c r="C16" s="13" t="e">
        <f>veri!B33/veri!B72</f>
        <v>#DIV/0!</v>
      </c>
      <c r="D16" s="13" t="e">
        <f>veri!C33/veri!C72</f>
        <v>#DIV/0!</v>
      </c>
      <c r="E16" s="13" t="e">
        <f>veri!D33/veri!D72</f>
        <v>#DIV/0!</v>
      </c>
      <c r="F16" s="13" t="e">
        <f>veri!E33/veri!E72</f>
        <v>#DIV/0!</v>
      </c>
      <c r="G16" s="6" t="e">
        <f>IF(C16&lt;0.3,"Düşük kısa vadeli borç, likidite riski az.",
IF(C16&lt;0.5,"Orta düzey kısa vadeli borç.",
"Kısa vadeli borç oranı yüksek, finansal baskı olabilir."))</f>
        <v>#DIV/0!</v>
      </c>
    </row>
    <row r="17" spans="2:7" ht="18" thickBot="1" x14ac:dyDescent="0.5">
      <c r="B17" s="8" t="s">
        <v>14</v>
      </c>
      <c r="C17" s="13" t="e">
        <f>veri!B47/veri!B72</f>
        <v>#DIV/0!</v>
      </c>
      <c r="D17" s="13" t="e">
        <f>veri!C47/veri!C72</f>
        <v>#DIV/0!</v>
      </c>
      <c r="E17" s="13" t="e">
        <f>veri!D47/veri!D72</f>
        <v>#DIV/0!</v>
      </c>
      <c r="F17" s="13" t="e">
        <f>veri!E47/veri!E72</f>
        <v>#DIV/0!</v>
      </c>
      <c r="G17" s="6" t="e">
        <f>IF(C17&lt;0.2,"Uzun vadeli borç seviyesi düşük, risk az.",
IF(C17&lt;0.4,"Orta düzeyde uzun vadeli borç.",
"Yüksek uzun vadeli borç oranı, finansal yük artabilir."))</f>
        <v>#DIV/0!</v>
      </c>
    </row>
    <row r="18" spans="2:7" ht="15" thickBot="1" x14ac:dyDescent="0.35"/>
    <row r="19" spans="2:7" ht="18" thickBot="1" x14ac:dyDescent="0.5">
      <c r="B19" s="34" t="s">
        <v>15</v>
      </c>
      <c r="C19" s="34"/>
      <c r="D19" s="34"/>
      <c r="E19" s="34"/>
      <c r="F19" s="37"/>
      <c r="G19" s="11" t="str">
        <f>CONCATENATE(C20,", dönemi ile ilgi oransal yorumlar")</f>
        <v>2025/3, dönemi ile ilgi oransal yorumlar</v>
      </c>
    </row>
    <row r="20" spans="2:7" ht="15" thickBot="1" x14ac:dyDescent="0.35">
      <c r="B20" s="6"/>
      <c r="C20" s="9" t="str">
        <f>veri!B1</f>
        <v>2025/3</v>
      </c>
      <c r="D20" s="9" t="str">
        <f>veri!C1</f>
        <v>2024/12</v>
      </c>
      <c r="E20" s="9" t="str">
        <f>veri!D1</f>
        <v>2024/9</v>
      </c>
      <c r="F20" s="9" t="str">
        <f>veri!E1</f>
        <v>2024/6</v>
      </c>
      <c r="G20" s="6"/>
    </row>
    <row r="21" spans="2:7" ht="18" thickBot="1" x14ac:dyDescent="0.5">
      <c r="B21" s="8" t="s">
        <v>16</v>
      </c>
      <c r="C21" s="13" t="e">
        <f>veri!B101/veri!B31</f>
        <v>#DIV/0!</v>
      </c>
      <c r="D21" s="13" t="e">
        <f>veri!C101/veri!C31</f>
        <v>#DIV/0!</v>
      </c>
      <c r="E21" s="13" t="e">
        <f>veri!D101/veri!D31</f>
        <v>#DIV/0!</v>
      </c>
      <c r="F21" s="13" t="e">
        <f>veri!E101/veri!E31</f>
        <v>#DIV/0!</v>
      </c>
      <c r="G21" s="6" t="e">
        <f>IF(C21&gt;0.1,"Şirket kaynaklarını verimli kullanıyor.",
IF(C21&gt;0,"Karlılık var ama kaynak kullanımı zayıf.",
"Zarar ediyor veya kaynaklar verimsiz kullanılıyor."))</f>
        <v>#DIV/0!</v>
      </c>
    </row>
    <row r="22" spans="2:7" ht="18" thickBot="1" x14ac:dyDescent="0.5">
      <c r="B22" s="8" t="s">
        <v>17</v>
      </c>
      <c r="C22" s="13" t="e">
        <f>veri!B69/veri!B31</f>
        <v>#DIV/0!</v>
      </c>
      <c r="D22" s="13" t="e">
        <f>veri!C69/veri!C31</f>
        <v>#DIV/0!</v>
      </c>
      <c r="E22" s="13" t="e">
        <f>veri!D69/veri!D31</f>
        <v>#DIV/0!</v>
      </c>
      <c r="F22" s="13" t="e">
        <f>veri!E69/veri!E31</f>
        <v>#DIV/0!</v>
      </c>
      <c r="G22" s="6" t="e">
        <f>IF(C22&gt;0.05,"Aktif kârlılığı güçlü, varlıklar verimli kullanılıyor.",
IF(C22&gt;0,"Şirket kâr ediyor ama varlık verimliliği düşük.",
"Aktifler zarar yaratıyor veya verimsiz kullanılıyor."))</f>
        <v>#DIV/0!</v>
      </c>
    </row>
    <row r="23" spans="2:7" ht="18" thickBot="1" x14ac:dyDescent="0.5">
      <c r="B23" s="8" t="s">
        <v>18</v>
      </c>
      <c r="C23" s="7">
        <f>veri!B113</f>
        <v>0</v>
      </c>
      <c r="D23" s="7">
        <f>veri!C113</f>
        <v>0</v>
      </c>
      <c r="E23" s="7">
        <f>veri!D113</f>
        <v>0</v>
      </c>
      <c r="F23" s="7">
        <f>veri!E113</f>
        <v>0</v>
      </c>
      <c r="G23" s="6" t="str">
        <f>IF(B23&lt;C23,"EPS düşüşte, yatırımcı açısından olumsuz.",
IF(AND(B23&gt;C23,C23&gt;D23,D23&gt;E23),"EPS düzenli artıyor, güçlü performans.",
"EPS dalgalı seyrediyor, dikkat edilmeli."))</f>
        <v>EPS dalgalı seyrediyor, dikkat edilmeli.</v>
      </c>
    </row>
    <row r="25" spans="2:7" x14ac:dyDescent="0.3">
      <c r="B25" s="19"/>
      <c r="C25" s="18"/>
      <c r="D25" s="18"/>
      <c r="E25" s="18"/>
      <c r="F25" s="18"/>
      <c r="G25" s="18"/>
    </row>
    <row r="26" spans="2:7" x14ac:dyDescent="0.3">
      <c r="C26" s="18" t="s">
        <v>636</v>
      </c>
      <c r="D26" s="18" t="s">
        <v>21</v>
      </c>
      <c r="E26" s="18" t="s">
        <v>634</v>
      </c>
      <c r="F26" s="20" t="s">
        <v>635</v>
      </c>
      <c r="G26" s="23" t="s">
        <v>643</v>
      </c>
    </row>
    <row r="27" spans="2:7" ht="21" x14ac:dyDescent="0.3">
      <c r="C27" s="18" t="s">
        <v>192</v>
      </c>
      <c r="D27" s="18">
        <v>371.75</v>
      </c>
      <c r="E27" s="18">
        <v>33.75</v>
      </c>
      <c r="F27" s="20">
        <v>9.9900000000000003E-2</v>
      </c>
      <c r="G27" s="25" t="s">
        <v>639</v>
      </c>
    </row>
    <row r="28" spans="2:7" ht="21" x14ac:dyDescent="0.3">
      <c r="C28" s="18" t="s">
        <v>276</v>
      </c>
      <c r="D28" s="18">
        <v>289.25</v>
      </c>
      <c r="E28" s="18">
        <v>26.25</v>
      </c>
      <c r="F28" s="20">
        <v>9.98E-2</v>
      </c>
      <c r="G28" s="25" t="s">
        <v>639</v>
      </c>
    </row>
    <row r="29" spans="2:7" ht="21" x14ac:dyDescent="0.3">
      <c r="C29" s="18" t="s">
        <v>48</v>
      </c>
      <c r="D29" s="18">
        <v>23.58</v>
      </c>
      <c r="E29" s="18">
        <v>2.14</v>
      </c>
      <c r="F29" s="20">
        <v>9.98E-2</v>
      </c>
      <c r="G29" s="25" t="s">
        <v>639</v>
      </c>
    </row>
    <row r="30" spans="2:7" ht="21" x14ac:dyDescent="0.3">
      <c r="C30" s="18" t="s">
        <v>598</v>
      </c>
      <c r="D30" s="18">
        <v>34.82</v>
      </c>
      <c r="E30" s="18">
        <v>3.16</v>
      </c>
      <c r="F30" s="20">
        <v>9.98E-2</v>
      </c>
      <c r="G30" s="25" t="s">
        <v>639</v>
      </c>
    </row>
    <row r="31" spans="2:7" ht="21" x14ac:dyDescent="0.3">
      <c r="C31" s="18" t="s">
        <v>116</v>
      </c>
      <c r="D31" s="18">
        <v>170</v>
      </c>
      <c r="E31" s="18">
        <v>15.4</v>
      </c>
      <c r="F31" s="24">
        <v>9.9599999999999994E-2</v>
      </c>
      <c r="G31" s="25" t="s">
        <v>639</v>
      </c>
    </row>
    <row r="33" spans="2:7" x14ac:dyDescent="0.3">
      <c r="B33" s="18"/>
      <c r="C33" s="18"/>
      <c r="D33" s="18"/>
      <c r="E33" s="18"/>
      <c r="F33" s="18"/>
      <c r="G33" s="18"/>
    </row>
    <row r="34" spans="2:7" ht="15" thickBot="1" x14ac:dyDescent="0.35">
      <c r="C34" s="18" t="s">
        <v>636</v>
      </c>
      <c r="D34" s="18" t="s">
        <v>21</v>
      </c>
      <c r="E34" s="18" t="s">
        <v>634</v>
      </c>
      <c r="F34" s="20" t="s">
        <v>635</v>
      </c>
      <c r="G34" s="26" t="s">
        <v>642</v>
      </c>
    </row>
    <row r="35" spans="2:7" ht="21.6" thickTop="1" x14ac:dyDescent="0.3">
      <c r="C35" s="18" t="s">
        <v>175</v>
      </c>
      <c r="D35" s="18">
        <v>1.7</v>
      </c>
      <c r="E35" s="18">
        <v>-1.45</v>
      </c>
      <c r="F35" s="20">
        <v>-0.46029999999999999</v>
      </c>
      <c r="G35" s="27" t="s">
        <v>641</v>
      </c>
    </row>
    <row r="36" spans="2:7" ht="21" x14ac:dyDescent="0.3">
      <c r="C36" s="18" t="s">
        <v>405</v>
      </c>
      <c r="D36" s="18">
        <v>13.86</v>
      </c>
      <c r="E36" s="18">
        <v>-1.54</v>
      </c>
      <c r="F36" s="20">
        <v>-0.1</v>
      </c>
      <c r="G36" s="27" t="s">
        <v>641</v>
      </c>
    </row>
    <row r="37" spans="2:7" ht="21" x14ac:dyDescent="0.3">
      <c r="C37" s="18" t="s">
        <v>583</v>
      </c>
      <c r="D37" s="18">
        <v>14.87</v>
      </c>
      <c r="E37" s="18">
        <v>-1.65</v>
      </c>
      <c r="F37" s="20">
        <v>-9.9900000000000003E-2</v>
      </c>
      <c r="G37" s="27" t="s">
        <v>641</v>
      </c>
    </row>
    <row r="38" spans="2:7" ht="21" x14ac:dyDescent="0.3">
      <c r="C38" s="18" t="s">
        <v>280</v>
      </c>
      <c r="D38" s="18">
        <v>238.1</v>
      </c>
      <c r="E38" s="18">
        <v>-26.4</v>
      </c>
      <c r="F38" s="20">
        <v>-9.98E-2</v>
      </c>
      <c r="G38" s="27" t="s">
        <v>641</v>
      </c>
    </row>
    <row r="39" spans="2:7" ht="21" x14ac:dyDescent="0.3">
      <c r="C39" s="18" t="s">
        <v>513</v>
      </c>
      <c r="D39" s="18">
        <v>15.09</v>
      </c>
      <c r="E39" s="18">
        <v>-1.67</v>
      </c>
      <c r="F39" s="24">
        <v>-9.9599999999999994E-2</v>
      </c>
      <c r="G39" s="27" t="s">
        <v>641</v>
      </c>
    </row>
  </sheetData>
  <mergeCells count="4">
    <mergeCell ref="C1:F2"/>
    <mergeCell ref="B3:F3"/>
    <mergeCell ref="B11:F11"/>
    <mergeCell ref="B19:F19"/>
  </mergeCells>
  <pageMargins left="0.7" right="0.7" top="0.75" bottom="0.75" header="0.3" footer="0.3"/>
  <pageSetup paperSize="9" scale="45" fitToHeight="0" orientation="landscape" horizontalDpi="4294967293" verticalDpi="0" r:id="rId1"/>
  <drawing r:id="rId2"/>
  <legacyDrawing r:id="rId3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J592"/>
  <sheetViews>
    <sheetView workbookViewId="0">
      <selection sqref="A1:J592"/>
    </sheetView>
  </sheetViews>
  <sheetFormatPr defaultRowHeight="14.4" x14ac:dyDescent="0.3"/>
  <cols>
    <col min="1" max="1" width="7.77734375" bestFit="1" customWidth="1"/>
    <col min="2" max="2" width="8" bestFit="1" customWidth="1"/>
    <col min="3" max="3" width="10" bestFit="1" customWidth="1"/>
    <col min="4" max="4" width="11.5546875" bestFit="1" customWidth="1"/>
    <col min="5" max="5" width="7.6640625" bestFit="1" customWidth="1"/>
    <col min="6" max="6" width="11" bestFit="1" customWidth="1"/>
    <col min="7" max="7" width="11.6640625" bestFit="1" customWidth="1"/>
    <col min="8" max="8" width="9" bestFit="1" customWidth="1"/>
    <col min="9" max="9" width="11" bestFit="1" customWidth="1"/>
    <col min="10" max="10" width="11.5546875" bestFit="1" customWidth="1"/>
  </cols>
  <sheetData>
    <row r="1" spans="1:10" x14ac:dyDescent="0.3">
      <c r="A1" s="18" t="s">
        <v>20</v>
      </c>
      <c r="B1" s="18" t="s">
        <v>21</v>
      </c>
      <c r="C1" s="18" t="s">
        <v>22</v>
      </c>
      <c r="D1" s="18" t="s">
        <v>23</v>
      </c>
      <c r="E1" s="18" t="s">
        <v>24</v>
      </c>
      <c r="F1" s="18" t="s">
        <v>25</v>
      </c>
      <c r="G1" s="18" t="s">
        <v>26</v>
      </c>
      <c r="H1" s="18" t="s">
        <v>27</v>
      </c>
      <c r="I1" s="18" t="s">
        <v>28</v>
      </c>
      <c r="J1" s="18" t="s">
        <v>29</v>
      </c>
    </row>
    <row r="2" spans="1:10" x14ac:dyDescent="0.3">
      <c r="A2" s="18" t="s">
        <v>30</v>
      </c>
      <c r="B2" s="18">
        <v>6.24</v>
      </c>
      <c r="C2" s="18" t="s">
        <v>908</v>
      </c>
      <c r="D2" s="18" t="s">
        <v>683</v>
      </c>
      <c r="E2" s="18">
        <v>-4.7999999999999996E-3</v>
      </c>
      <c r="F2" s="18">
        <v>6.12</v>
      </c>
      <c r="G2" s="18">
        <v>6.4</v>
      </c>
      <c r="H2" s="18">
        <v>6.21</v>
      </c>
      <c r="I2" s="18">
        <v>106337691</v>
      </c>
      <c r="J2" s="18">
        <v>17114571</v>
      </c>
    </row>
    <row r="3" spans="1:10" x14ac:dyDescent="0.3">
      <c r="A3" s="18" t="s">
        <v>31</v>
      </c>
      <c r="B3" s="18">
        <v>26.12</v>
      </c>
      <c r="C3" s="18" t="s">
        <v>909</v>
      </c>
      <c r="D3" s="18" t="s">
        <v>910</v>
      </c>
      <c r="E3" s="18">
        <v>1.5E-3</v>
      </c>
      <c r="F3" s="18">
        <v>26.1</v>
      </c>
      <c r="G3" s="18">
        <v>27.08</v>
      </c>
      <c r="H3" s="18">
        <v>26.61</v>
      </c>
      <c r="I3" s="18">
        <v>67083432</v>
      </c>
      <c r="J3" s="18">
        <v>2521241</v>
      </c>
    </row>
    <row r="4" spans="1:10" x14ac:dyDescent="0.3">
      <c r="A4" s="18" t="s">
        <v>32</v>
      </c>
      <c r="B4" s="18">
        <v>100</v>
      </c>
      <c r="C4" s="18" t="s">
        <v>911</v>
      </c>
      <c r="D4" s="18" t="s">
        <v>912</v>
      </c>
      <c r="E4" s="18">
        <v>0</v>
      </c>
      <c r="F4" s="18">
        <v>99.9</v>
      </c>
      <c r="G4" s="18">
        <v>106.4</v>
      </c>
      <c r="H4" s="18">
        <v>102.73</v>
      </c>
      <c r="I4" s="18">
        <v>16534440</v>
      </c>
      <c r="J4" s="18">
        <v>160946</v>
      </c>
    </row>
    <row r="5" spans="1:10" x14ac:dyDescent="0.3">
      <c r="A5" s="18" t="s">
        <v>33</v>
      </c>
      <c r="B5" s="18">
        <v>28.64</v>
      </c>
      <c r="C5" s="18" t="s">
        <v>913</v>
      </c>
      <c r="D5" s="18" t="s">
        <v>914</v>
      </c>
      <c r="E5" s="18">
        <v>-4.6600000000000003E-2</v>
      </c>
      <c r="F5" s="18">
        <v>28.58</v>
      </c>
      <c r="G5" s="18">
        <v>31.88</v>
      </c>
      <c r="H5" s="18">
        <v>30.72</v>
      </c>
      <c r="I5" s="18">
        <v>324341463</v>
      </c>
      <c r="J5" s="18">
        <v>10559020</v>
      </c>
    </row>
    <row r="6" spans="1:10" x14ac:dyDescent="0.3">
      <c r="A6" s="18" t="s">
        <v>34</v>
      </c>
      <c r="B6" s="18">
        <v>4.95</v>
      </c>
      <c r="C6" s="18" t="s">
        <v>687</v>
      </c>
      <c r="D6" s="18" t="s">
        <v>663</v>
      </c>
      <c r="E6" s="18">
        <v>-2.1700000000000001E-2</v>
      </c>
      <c r="F6" s="18">
        <v>4.6100000000000003</v>
      </c>
      <c r="G6" s="18">
        <v>5.24</v>
      </c>
      <c r="H6" s="18">
        <v>4.9000000000000004</v>
      </c>
      <c r="I6" s="18">
        <v>291887298</v>
      </c>
      <c r="J6" s="18">
        <v>59585168</v>
      </c>
    </row>
    <row r="7" spans="1:10" x14ac:dyDescent="0.3">
      <c r="A7" s="18" t="s">
        <v>35</v>
      </c>
      <c r="B7" s="18">
        <v>28</v>
      </c>
      <c r="C7" s="18" t="s">
        <v>739</v>
      </c>
      <c r="D7" s="18" t="s">
        <v>697</v>
      </c>
      <c r="E7" s="18">
        <v>-2.1000000000000001E-2</v>
      </c>
      <c r="F7" s="18">
        <v>27.56</v>
      </c>
      <c r="G7" s="18">
        <v>28.3</v>
      </c>
      <c r="H7" s="18">
        <v>27.97</v>
      </c>
      <c r="I7" s="18">
        <v>29380893</v>
      </c>
      <c r="J7" s="18">
        <v>1050620</v>
      </c>
    </row>
    <row r="8" spans="1:10" x14ac:dyDescent="0.3">
      <c r="A8" s="18" t="s">
        <v>36</v>
      </c>
      <c r="B8" s="18">
        <v>139.30000000000001</v>
      </c>
      <c r="C8" s="18" t="s">
        <v>915</v>
      </c>
      <c r="D8" s="18" t="s">
        <v>656</v>
      </c>
      <c r="E8" s="18">
        <v>-4.1300000000000003E-2</v>
      </c>
      <c r="F8" s="18">
        <v>139</v>
      </c>
      <c r="G8" s="18">
        <v>145.6</v>
      </c>
      <c r="H8" s="18">
        <v>141.4</v>
      </c>
      <c r="I8" s="18">
        <v>1075471445</v>
      </c>
      <c r="J8" s="18">
        <v>7605866</v>
      </c>
    </row>
    <row r="9" spans="1:10" x14ac:dyDescent="0.3">
      <c r="A9" s="18" t="s">
        <v>37</v>
      </c>
      <c r="B9" s="18">
        <v>12.58</v>
      </c>
      <c r="C9" s="18" t="s">
        <v>916</v>
      </c>
      <c r="D9" s="18" t="s">
        <v>917</v>
      </c>
      <c r="E9" s="18">
        <v>-1.8700000000000001E-2</v>
      </c>
      <c r="F9" s="18">
        <v>12.5</v>
      </c>
      <c r="G9" s="18">
        <v>12.86</v>
      </c>
      <c r="H9" s="18">
        <v>12.7</v>
      </c>
      <c r="I9" s="18">
        <v>19845735</v>
      </c>
      <c r="J9" s="18">
        <v>1563182</v>
      </c>
    </row>
    <row r="10" spans="1:10" x14ac:dyDescent="0.3">
      <c r="A10" s="18" t="s">
        <v>38</v>
      </c>
      <c r="B10" s="18">
        <v>141.5</v>
      </c>
      <c r="C10" s="18" t="s">
        <v>918</v>
      </c>
      <c r="D10" s="18" t="s">
        <v>919</v>
      </c>
      <c r="E10" s="18">
        <v>1.3599999999999999E-2</v>
      </c>
      <c r="F10" s="18">
        <v>138.6</v>
      </c>
      <c r="G10" s="18">
        <v>141.80000000000001</v>
      </c>
      <c r="H10" s="18">
        <v>140.88999999999999</v>
      </c>
      <c r="I10" s="18">
        <v>36918451</v>
      </c>
      <c r="J10" s="18">
        <v>262039</v>
      </c>
    </row>
    <row r="11" spans="1:10" x14ac:dyDescent="0.3">
      <c r="A11" s="18" t="s">
        <v>39</v>
      </c>
      <c r="B11" s="18">
        <v>256</v>
      </c>
      <c r="C11" s="18" t="s">
        <v>920</v>
      </c>
      <c r="D11" s="18" t="s">
        <v>921</v>
      </c>
      <c r="E11" s="18">
        <v>-6.7999999999999996E-3</v>
      </c>
      <c r="F11" s="18">
        <v>252.5</v>
      </c>
      <c r="G11" s="18">
        <v>259.5</v>
      </c>
      <c r="H11" s="18">
        <v>255.04</v>
      </c>
      <c r="I11" s="18">
        <v>211776109</v>
      </c>
      <c r="J11" s="18">
        <v>830382</v>
      </c>
    </row>
    <row r="12" spans="1:10" x14ac:dyDescent="0.3">
      <c r="A12" s="18" t="s">
        <v>40</v>
      </c>
      <c r="B12" s="18">
        <v>7.44</v>
      </c>
      <c r="C12" s="18" t="s">
        <v>688</v>
      </c>
      <c r="D12" s="18" t="s">
        <v>855</v>
      </c>
      <c r="E12" s="18">
        <v>-2.1100000000000001E-2</v>
      </c>
      <c r="F12" s="18">
        <v>7.44</v>
      </c>
      <c r="G12" s="18">
        <v>7.63</v>
      </c>
      <c r="H12" s="18">
        <v>7.53</v>
      </c>
      <c r="I12" s="18">
        <v>52933017</v>
      </c>
      <c r="J12" s="18">
        <v>7031077</v>
      </c>
    </row>
    <row r="13" spans="1:10" x14ac:dyDescent="0.3">
      <c r="A13" s="18" t="s">
        <v>41</v>
      </c>
      <c r="B13" s="18">
        <v>6.15</v>
      </c>
      <c r="C13" s="18" t="s">
        <v>922</v>
      </c>
      <c r="D13" s="18" t="s">
        <v>923</v>
      </c>
      <c r="E13" s="18">
        <v>-4.8999999999999998E-3</v>
      </c>
      <c r="F13" s="18">
        <v>5.99</v>
      </c>
      <c r="G13" s="18">
        <v>6.2</v>
      </c>
      <c r="H13" s="18">
        <v>6.11</v>
      </c>
      <c r="I13" s="18">
        <v>6347324</v>
      </c>
      <c r="J13" s="18">
        <v>1039121</v>
      </c>
    </row>
    <row r="14" spans="1:10" x14ac:dyDescent="0.3">
      <c r="A14" s="18" t="s">
        <v>42</v>
      </c>
      <c r="B14" s="18">
        <v>24.26</v>
      </c>
      <c r="C14" s="18" t="s">
        <v>924</v>
      </c>
      <c r="D14" s="18" t="s">
        <v>925</v>
      </c>
      <c r="E14" s="18">
        <v>8.3000000000000001E-3</v>
      </c>
      <c r="F14" s="18">
        <v>23.66</v>
      </c>
      <c r="G14" s="18">
        <v>24.3</v>
      </c>
      <c r="H14" s="18">
        <v>23.87</v>
      </c>
      <c r="I14" s="18">
        <v>66353298</v>
      </c>
      <c r="J14" s="18">
        <v>2779620</v>
      </c>
    </row>
    <row r="15" spans="1:10" x14ac:dyDescent="0.3">
      <c r="A15" s="18" t="s">
        <v>43</v>
      </c>
      <c r="B15" s="18">
        <v>21.38</v>
      </c>
      <c r="C15" s="18" t="s">
        <v>926</v>
      </c>
      <c r="D15" s="18" t="s">
        <v>927</v>
      </c>
      <c r="E15" s="18">
        <v>-2.8199999999999999E-2</v>
      </c>
      <c r="F15" s="18">
        <v>20.94</v>
      </c>
      <c r="G15" s="18">
        <v>22.82</v>
      </c>
      <c r="H15" s="18">
        <v>21.86</v>
      </c>
      <c r="I15" s="18">
        <v>64640492</v>
      </c>
      <c r="J15" s="18">
        <v>2957546</v>
      </c>
    </row>
    <row r="16" spans="1:10" x14ac:dyDescent="0.3">
      <c r="A16" s="18" t="s">
        <v>44</v>
      </c>
      <c r="B16" s="18">
        <v>50.95</v>
      </c>
      <c r="C16" s="18" t="s">
        <v>928</v>
      </c>
      <c r="D16" s="18" t="s">
        <v>929</v>
      </c>
      <c r="E16" s="18">
        <v>-3.5000000000000003E-2</v>
      </c>
      <c r="F16" s="18">
        <v>50.85</v>
      </c>
      <c r="G16" s="18">
        <v>52.9</v>
      </c>
      <c r="H16" s="18">
        <v>51.44</v>
      </c>
      <c r="I16" s="18">
        <v>4972147702</v>
      </c>
      <c r="J16" s="18">
        <v>96666805</v>
      </c>
    </row>
    <row r="17" spans="1:10" x14ac:dyDescent="0.3">
      <c r="A17" s="18" t="s">
        <v>45</v>
      </c>
      <c r="B17" s="18">
        <v>149.5</v>
      </c>
      <c r="C17" s="18" t="s">
        <v>700</v>
      </c>
      <c r="D17" s="18" t="s">
        <v>930</v>
      </c>
      <c r="E17" s="18">
        <v>4.3999999999999997E-2</v>
      </c>
      <c r="F17" s="18">
        <v>141.1</v>
      </c>
      <c r="G17" s="18">
        <v>149.5</v>
      </c>
      <c r="H17" s="18">
        <v>144.71</v>
      </c>
      <c r="I17" s="18">
        <v>56886970</v>
      </c>
      <c r="J17" s="18">
        <v>393114</v>
      </c>
    </row>
    <row r="18" spans="1:10" x14ac:dyDescent="0.3">
      <c r="A18" s="18" t="s">
        <v>46</v>
      </c>
      <c r="B18" s="18">
        <v>10.32</v>
      </c>
      <c r="C18" s="18" t="s">
        <v>931</v>
      </c>
      <c r="D18" s="18" t="s">
        <v>701</v>
      </c>
      <c r="E18" s="18">
        <v>-3.0099999999999998E-2</v>
      </c>
      <c r="F18" s="18">
        <v>10.27</v>
      </c>
      <c r="G18" s="18">
        <v>10.74</v>
      </c>
      <c r="H18" s="18">
        <v>10.45</v>
      </c>
      <c r="I18" s="18">
        <v>111257244</v>
      </c>
      <c r="J18" s="18">
        <v>10645560</v>
      </c>
    </row>
    <row r="19" spans="1:10" x14ac:dyDescent="0.3">
      <c r="A19" s="18" t="s">
        <v>47</v>
      </c>
      <c r="B19" s="18">
        <v>2.0099999999999998</v>
      </c>
      <c r="C19" s="18" t="s">
        <v>932</v>
      </c>
      <c r="D19" s="18" t="s">
        <v>933</v>
      </c>
      <c r="E19" s="18">
        <v>-4.2900000000000001E-2</v>
      </c>
      <c r="F19" s="18">
        <v>2.0099999999999998</v>
      </c>
      <c r="G19" s="18">
        <v>2.11</v>
      </c>
      <c r="H19" s="18">
        <v>2.0499999999999998</v>
      </c>
      <c r="I19" s="18">
        <v>42472557</v>
      </c>
      <c r="J19" s="18">
        <v>20772673</v>
      </c>
    </row>
    <row r="20" spans="1:10" x14ac:dyDescent="0.3">
      <c r="A20" s="18" t="s">
        <v>48</v>
      </c>
      <c r="B20" s="18">
        <v>23.58</v>
      </c>
      <c r="C20" s="18" t="s">
        <v>934</v>
      </c>
      <c r="D20" s="18" t="s">
        <v>89</v>
      </c>
      <c r="E20" s="18">
        <v>9.98E-2</v>
      </c>
      <c r="F20" s="18">
        <v>20.88</v>
      </c>
      <c r="G20" s="18">
        <v>23.58</v>
      </c>
      <c r="H20" s="18">
        <v>22.61</v>
      </c>
      <c r="I20" s="18">
        <v>994751450</v>
      </c>
      <c r="J20" s="18">
        <v>43994282</v>
      </c>
    </row>
    <row r="21" spans="1:10" x14ac:dyDescent="0.3">
      <c r="A21" s="18" t="s">
        <v>49</v>
      </c>
      <c r="B21" s="18">
        <v>15.6</v>
      </c>
      <c r="C21" s="18" t="s">
        <v>935</v>
      </c>
      <c r="D21" s="18" t="s">
        <v>936</v>
      </c>
      <c r="E21" s="18">
        <v>1.4999999999999999E-2</v>
      </c>
      <c r="F21" s="18">
        <v>15.3</v>
      </c>
      <c r="G21" s="18">
        <v>15.6</v>
      </c>
      <c r="H21" s="18">
        <v>15.39</v>
      </c>
      <c r="I21" s="18">
        <v>40227116</v>
      </c>
      <c r="J21" s="18">
        <v>2613819</v>
      </c>
    </row>
    <row r="22" spans="1:10" x14ac:dyDescent="0.3">
      <c r="A22" s="18" t="s">
        <v>50</v>
      </c>
      <c r="B22" s="18">
        <v>5.81</v>
      </c>
      <c r="C22" s="18" t="s">
        <v>937</v>
      </c>
      <c r="D22" s="18" t="s">
        <v>705</v>
      </c>
      <c r="E22" s="18">
        <v>-2.8400000000000002E-2</v>
      </c>
      <c r="F22" s="18">
        <v>5.78</v>
      </c>
      <c r="G22" s="18">
        <v>6</v>
      </c>
      <c r="H22" s="18">
        <v>5.86</v>
      </c>
      <c r="I22" s="18">
        <v>62374833</v>
      </c>
      <c r="J22" s="18">
        <v>10638759</v>
      </c>
    </row>
    <row r="23" spans="1:10" x14ac:dyDescent="0.3">
      <c r="A23" s="18" t="s">
        <v>51</v>
      </c>
      <c r="B23" s="18">
        <v>187.1</v>
      </c>
      <c r="C23" s="18" t="s">
        <v>938</v>
      </c>
      <c r="D23" s="18" t="s">
        <v>939</v>
      </c>
      <c r="E23" s="18">
        <v>-1.6299999999999999E-2</v>
      </c>
      <c r="F23" s="18">
        <v>186.5</v>
      </c>
      <c r="G23" s="18">
        <v>190.2</v>
      </c>
      <c r="H23" s="18">
        <v>187.7</v>
      </c>
      <c r="I23" s="18">
        <v>2921729</v>
      </c>
      <c r="J23" s="18">
        <v>15566</v>
      </c>
    </row>
    <row r="24" spans="1:10" x14ac:dyDescent="0.3">
      <c r="A24" s="18" t="s">
        <v>52</v>
      </c>
      <c r="B24" s="18">
        <v>9.08</v>
      </c>
      <c r="C24" s="18" t="s">
        <v>940</v>
      </c>
      <c r="D24" s="18" t="s">
        <v>941</v>
      </c>
      <c r="E24" s="18">
        <v>0</v>
      </c>
      <c r="F24" s="18">
        <v>8.99</v>
      </c>
      <c r="G24" s="18">
        <v>9.17</v>
      </c>
      <c r="H24" s="18">
        <v>9.0500000000000007</v>
      </c>
      <c r="I24" s="18">
        <v>55252133</v>
      </c>
      <c r="J24" s="18">
        <v>6107433</v>
      </c>
    </row>
    <row r="25" spans="1:10" x14ac:dyDescent="0.3">
      <c r="A25" s="18" t="s">
        <v>53</v>
      </c>
      <c r="B25" s="18">
        <v>32.46</v>
      </c>
      <c r="C25" s="18" t="s">
        <v>942</v>
      </c>
      <c r="D25" s="18" t="s">
        <v>943</v>
      </c>
      <c r="E25" s="18">
        <v>-3.2800000000000003E-2</v>
      </c>
      <c r="F25" s="18">
        <v>32.46</v>
      </c>
      <c r="G25" s="18">
        <v>33.6</v>
      </c>
      <c r="H25" s="18">
        <v>32.89</v>
      </c>
      <c r="I25" s="18">
        <v>123321070</v>
      </c>
      <c r="J25" s="18">
        <v>3749157</v>
      </c>
    </row>
    <row r="26" spans="1:10" x14ac:dyDescent="0.3">
      <c r="A26" s="18" t="s">
        <v>54</v>
      </c>
      <c r="B26" s="18">
        <v>6.04</v>
      </c>
      <c r="C26" s="18" t="s">
        <v>944</v>
      </c>
      <c r="D26" s="18" t="s">
        <v>796</v>
      </c>
      <c r="E26" s="18">
        <v>0</v>
      </c>
      <c r="F26" s="18">
        <v>5.98</v>
      </c>
      <c r="G26" s="18">
        <v>6.05</v>
      </c>
      <c r="H26" s="18">
        <v>6.01</v>
      </c>
      <c r="I26" s="18">
        <v>9805541</v>
      </c>
      <c r="J26" s="18">
        <v>1631580</v>
      </c>
    </row>
    <row r="27" spans="1:10" x14ac:dyDescent="0.3">
      <c r="A27" s="18" t="s">
        <v>55</v>
      </c>
      <c r="B27" s="18">
        <v>17.37</v>
      </c>
      <c r="C27" s="18" t="s">
        <v>945</v>
      </c>
      <c r="D27" s="18" t="s">
        <v>946</v>
      </c>
      <c r="E27" s="18">
        <v>-4.9799999999999997E-2</v>
      </c>
      <c r="F27" s="18">
        <v>16.73</v>
      </c>
      <c r="G27" s="18">
        <v>18.28</v>
      </c>
      <c r="H27" s="18">
        <v>17.22</v>
      </c>
      <c r="I27" s="18">
        <v>6964908</v>
      </c>
      <c r="J27" s="18">
        <v>404567</v>
      </c>
    </row>
    <row r="28" spans="1:10" x14ac:dyDescent="0.3">
      <c r="A28" s="18" t="s">
        <v>56</v>
      </c>
      <c r="B28" s="18">
        <v>3.09</v>
      </c>
      <c r="C28" s="18" t="s">
        <v>661</v>
      </c>
      <c r="D28" s="18" t="s">
        <v>649</v>
      </c>
      <c r="E28" s="18">
        <v>-3.1300000000000001E-2</v>
      </c>
      <c r="F28" s="18">
        <v>3.06</v>
      </c>
      <c r="G28" s="18">
        <v>3.17</v>
      </c>
      <c r="H28" s="18">
        <v>3.11</v>
      </c>
      <c r="I28" s="18">
        <v>8082858</v>
      </c>
      <c r="J28" s="18">
        <v>2596469</v>
      </c>
    </row>
    <row r="29" spans="1:10" x14ac:dyDescent="0.3">
      <c r="A29" s="18" t="s">
        <v>57</v>
      </c>
      <c r="B29" s="18">
        <v>81.05</v>
      </c>
      <c r="C29" s="18" t="s">
        <v>947</v>
      </c>
      <c r="D29" s="18" t="s">
        <v>948</v>
      </c>
      <c r="E29" s="18">
        <v>-1.8800000000000001E-2</v>
      </c>
      <c r="F29" s="18">
        <v>80.7</v>
      </c>
      <c r="G29" s="18">
        <v>82.55</v>
      </c>
      <c r="H29" s="18">
        <v>81.709999999999994</v>
      </c>
      <c r="I29" s="18">
        <v>369284059</v>
      </c>
      <c r="J29" s="18">
        <v>4519722</v>
      </c>
    </row>
    <row r="30" spans="1:10" x14ac:dyDescent="0.3">
      <c r="A30" s="18" t="s">
        <v>58</v>
      </c>
      <c r="B30" s="18">
        <v>6.7</v>
      </c>
      <c r="C30" s="18" t="s">
        <v>832</v>
      </c>
      <c r="D30" s="18" t="s">
        <v>833</v>
      </c>
      <c r="E30" s="18">
        <v>1.21E-2</v>
      </c>
      <c r="F30" s="18">
        <v>6.58</v>
      </c>
      <c r="G30" s="18">
        <v>6.78</v>
      </c>
      <c r="H30" s="18">
        <v>6.69</v>
      </c>
      <c r="I30" s="18">
        <v>124171489</v>
      </c>
      <c r="J30" s="18">
        <v>18567967</v>
      </c>
    </row>
    <row r="31" spans="1:10" x14ac:dyDescent="0.3">
      <c r="A31" s="18" t="s">
        <v>59</v>
      </c>
      <c r="B31" s="18">
        <v>877</v>
      </c>
      <c r="C31" s="18" t="s">
        <v>949</v>
      </c>
      <c r="D31" s="18" t="s">
        <v>950</v>
      </c>
      <c r="E31" s="18">
        <v>1.21E-2</v>
      </c>
      <c r="F31" s="18">
        <v>859</v>
      </c>
      <c r="G31" s="18">
        <v>894.5</v>
      </c>
      <c r="H31" s="18">
        <v>877.69</v>
      </c>
      <c r="I31" s="18">
        <v>23258828</v>
      </c>
      <c r="J31" s="18">
        <v>26500</v>
      </c>
    </row>
    <row r="32" spans="1:10" x14ac:dyDescent="0.3">
      <c r="A32" s="18" t="s">
        <v>60</v>
      </c>
      <c r="B32" s="18">
        <v>104</v>
      </c>
      <c r="C32" s="18" t="s">
        <v>951</v>
      </c>
      <c r="D32" s="18" t="s">
        <v>736</v>
      </c>
      <c r="E32" s="18">
        <v>-2.8899999999999999E-2</v>
      </c>
      <c r="F32" s="18">
        <v>103.9</v>
      </c>
      <c r="G32" s="18">
        <v>107.9</v>
      </c>
      <c r="H32" s="18">
        <v>105.46</v>
      </c>
      <c r="I32" s="18">
        <v>35921775</v>
      </c>
      <c r="J32" s="18">
        <v>340634</v>
      </c>
    </row>
    <row r="33" spans="1:10" x14ac:dyDescent="0.3">
      <c r="A33" s="18" t="s">
        <v>61</v>
      </c>
      <c r="B33" s="18">
        <v>44.06</v>
      </c>
      <c r="C33" s="18" t="s">
        <v>952</v>
      </c>
      <c r="D33" s="18" t="s">
        <v>953</v>
      </c>
      <c r="E33" s="18">
        <v>-0.02</v>
      </c>
      <c r="F33" s="18">
        <v>44.06</v>
      </c>
      <c r="G33" s="18">
        <v>46.34</v>
      </c>
      <c r="H33" s="18">
        <v>45.16</v>
      </c>
      <c r="I33" s="18">
        <v>115068046</v>
      </c>
      <c r="J33" s="18">
        <v>2548069</v>
      </c>
    </row>
    <row r="34" spans="1:10" x14ac:dyDescent="0.3">
      <c r="A34" s="18" t="s">
        <v>62</v>
      </c>
      <c r="B34" s="18">
        <v>17.63</v>
      </c>
      <c r="C34" s="18" t="s">
        <v>954</v>
      </c>
      <c r="D34" s="18" t="s">
        <v>955</v>
      </c>
      <c r="E34" s="18">
        <v>-3.0800000000000001E-2</v>
      </c>
      <c r="F34" s="18">
        <v>17.600000000000001</v>
      </c>
      <c r="G34" s="18">
        <v>18.13</v>
      </c>
      <c r="H34" s="18">
        <v>17.809999999999999</v>
      </c>
      <c r="I34" s="18">
        <v>26344583</v>
      </c>
      <c r="J34" s="18">
        <v>1479350</v>
      </c>
    </row>
    <row r="35" spans="1:10" x14ac:dyDescent="0.3">
      <c r="A35" s="18" t="s">
        <v>63</v>
      </c>
      <c r="B35" s="18">
        <v>6.65</v>
      </c>
      <c r="C35" s="18" t="s">
        <v>956</v>
      </c>
      <c r="D35" s="18" t="s">
        <v>630</v>
      </c>
      <c r="E35" s="18">
        <v>6.1000000000000004E-3</v>
      </c>
      <c r="F35" s="18">
        <v>6.53</v>
      </c>
      <c r="G35" s="18">
        <v>6.72</v>
      </c>
      <c r="H35" s="18">
        <v>6.63</v>
      </c>
      <c r="I35" s="18">
        <v>16637073</v>
      </c>
      <c r="J35" s="18">
        <v>2509454</v>
      </c>
    </row>
    <row r="36" spans="1:10" x14ac:dyDescent="0.3">
      <c r="A36" s="18" t="s">
        <v>64</v>
      </c>
      <c r="B36" s="18">
        <v>14.18</v>
      </c>
      <c r="C36" s="18" t="s">
        <v>723</v>
      </c>
      <c r="D36" s="18" t="s">
        <v>957</v>
      </c>
      <c r="E36" s="18">
        <v>-2.07E-2</v>
      </c>
      <c r="F36" s="18">
        <v>14.17</v>
      </c>
      <c r="G36" s="18">
        <v>14.68</v>
      </c>
      <c r="H36" s="18">
        <v>14.33</v>
      </c>
      <c r="I36" s="18">
        <v>15170415</v>
      </c>
      <c r="J36" s="18">
        <v>1058858</v>
      </c>
    </row>
    <row r="37" spans="1:10" x14ac:dyDescent="0.3">
      <c r="A37" s="18" t="s">
        <v>65</v>
      </c>
      <c r="B37" s="18">
        <v>43.3</v>
      </c>
      <c r="C37" s="18" t="s">
        <v>958</v>
      </c>
      <c r="D37" s="18" t="s">
        <v>959</v>
      </c>
      <c r="E37" s="18">
        <v>-2.6100000000000002E-2</v>
      </c>
      <c r="F37" s="18">
        <v>42.5</v>
      </c>
      <c r="G37" s="18">
        <v>44.92</v>
      </c>
      <c r="H37" s="18">
        <v>43.88</v>
      </c>
      <c r="I37" s="18">
        <v>58783278</v>
      </c>
      <c r="J37" s="18">
        <v>1339508</v>
      </c>
    </row>
    <row r="38" spans="1:10" x14ac:dyDescent="0.3">
      <c r="A38" s="18" t="s">
        <v>66</v>
      </c>
      <c r="B38" s="18">
        <v>45.6</v>
      </c>
      <c r="C38" s="18" t="s">
        <v>960</v>
      </c>
      <c r="D38" s="18" t="s">
        <v>961</v>
      </c>
      <c r="E38" s="18">
        <v>2.2000000000000001E-3</v>
      </c>
      <c r="F38" s="18">
        <v>45.26</v>
      </c>
      <c r="G38" s="18">
        <v>45.72</v>
      </c>
      <c r="H38" s="18">
        <v>45.57</v>
      </c>
      <c r="I38" s="18">
        <v>808498239</v>
      </c>
      <c r="J38" s="18">
        <v>17742979</v>
      </c>
    </row>
    <row r="39" spans="1:10" x14ac:dyDescent="0.3">
      <c r="A39" s="18" t="s">
        <v>67</v>
      </c>
      <c r="B39" s="18">
        <v>69.849999999999994</v>
      </c>
      <c r="C39" s="18" t="s">
        <v>962</v>
      </c>
      <c r="D39" s="18" t="s">
        <v>963</v>
      </c>
      <c r="E39" s="18">
        <v>-2.0999999999999999E-3</v>
      </c>
      <c r="F39" s="18">
        <v>69.25</v>
      </c>
      <c r="G39" s="18">
        <v>72.099999999999994</v>
      </c>
      <c r="H39" s="18">
        <v>70.569999999999993</v>
      </c>
      <c r="I39" s="18">
        <v>171785290</v>
      </c>
      <c r="J39" s="18">
        <v>2434343</v>
      </c>
    </row>
    <row r="40" spans="1:10" x14ac:dyDescent="0.3">
      <c r="A40" s="18" t="s">
        <v>68</v>
      </c>
      <c r="B40" s="18">
        <v>28.42</v>
      </c>
      <c r="C40" s="18" t="s">
        <v>964</v>
      </c>
      <c r="D40" s="18" t="s">
        <v>965</v>
      </c>
      <c r="E40" s="18">
        <v>-2.5399999999999999E-2</v>
      </c>
      <c r="F40" s="18">
        <v>28.3</v>
      </c>
      <c r="G40" s="18">
        <v>29.78</v>
      </c>
      <c r="H40" s="18">
        <v>29.02</v>
      </c>
      <c r="I40" s="18">
        <v>83455824</v>
      </c>
      <c r="J40" s="18">
        <v>2876088</v>
      </c>
    </row>
    <row r="41" spans="1:10" x14ac:dyDescent="0.3">
      <c r="A41" s="18" t="s">
        <v>69</v>
      </c>
      <c r="B41" s="18">
        <v>16.399999999999999</v>
      </c>
      <c r="C41" s="18" t="s">
        <v>966</v>
      </c>
      <c r="D41" s="18" t="s">
        <v>894</v>
      </c>
      <c r="E41" s="18">
        <v>1.3599999999999999E-2</v>
      </c>
      <c r="F41" s="18">
        <v>15.85</v>
      </c>
      <c r="G41" s="18">
        <v>16.45</v>
      </c>
      <c r="H41" s="18">
        <v>16.14</v>
      </c>
      <c r="I41" s="18">
        <v>20396824</v>
      </c>
      <c r="J41" s="18">
        <v>1264133</v>
      </c>
    </row>
    <row r="42" spans="1:10" x14ac:dyDescent="0.3">
      <c r="A42" s="18" t="s">
        <v>70</v>
      </c>
      <c r="B42" s="18">
        <v>10.5</v>
      </c>
      <c r="C42" s="18" t="s">
        <v>967</v>
      </c>
      <c r="D42" s="18" t="s">
        <v>968</v>
      </c>
      <c r="E42" s="18">
        <v>-2.1399999999999999E-2</v>
      </c>
      <c r="F42" s="18">
        <v>10.47</v>
      </c>
      <c r="G42" s="18">
        <v>10.77</v>
      </c>
      <c r="H42" s="18">
        <v>10.61</v>
      </c>
      <c r="I42" s="18">
        <v>14173375</v>
      </c>
      <c r="J42" s="18">
        <v>1335323</v>
      </c>
    </row>
    <row r="43" spans="1:10" x14ac:dyDescent="0.3">
      <c r="A43" s="18" t="s">
        <v>71</v>
      </c>
      <c r="B43" s="18">
        <v>77.45</v>
      </c>
      <c r="C43" s="18" t="s">
        <v>969</v>
      </c>
      <c r="D43" s="18" t="s">
        <v>853</v>
      </c>
      <c r="E43" s="18">
        <v>3.4000000000000002E-2</v>
      </c>
      <c r="F43" s="18">
        <v>73.2</v>
      </c>
      <c r="G43" s="18">
        <v>77.45</v>
      </c>
      <c r="H43" s="18">
        <v>74.83</v>
      </c>
      <c r="I43" s="18">
        <v>62409380</v>
      </c>
      <c r="J43" s="18">
        <v>834002</v>
      </c>
    </row>
    <row r="44" spans="1:10" x14ac:dyDescent="0.3">
      <c r="A44" s="18" t="s">
        <v>72</v>
      </c>
      <c r="B44" s="18">
        <v>88</v>
      </c>
      <c r="C44" s="18" t="s">
        <v>970</v>
      </c>
      <c r="D44" s="18" t="s">
        <v>971</v>
      </c>
      <c r="E44" s="18">
        <v>-9.5999999999999992E-3</v>
      </c>
      <c r="F44" s="18">
        <v>86.85</v>
      </c>
      <c r="G44" s="18">
        <v>89.5</v>
      </c>
      <c r="H44" s="18">
        <v>87.81</v>
      </c>
      <c r="I44" s="18">
        <v>137036278</v>
      </c>
      <c r="J44" s="18">
        <v>1560537</v>
      </c>
    </row>
    <row r="45" spans="1:10" x14ac:dyDescent="0.3">
      <c r="A45" s="18" t="s">
        <v>73</v>
      </c>
      <c r="B45" s="18">
        <v>47.52</v>
      </c>
      <c r="C45" s="18" t="s">
        <v>708</v>
      </c>
      <c r="D45" s="18" t="s">
        <v>972</v>
      </c>
      <c r="E45" s="18">
        <v>3.3999999999999998E-3</v>
      </c>
      <c r="F45" s="18">
        <v>46.26</v>
      </c>
      <c r="G45" s="18">
        <v>47.56</v>
      </c>
      <c r="H45" s="18">
        <v>46.72</v>
      </c>
      <c r="I45" s="18">
        <v>24735007</v>
      </c>
      <c r="J45" s="18">
        <v>529426</v>
      </c>
    </row>
    <row r="46" spans="1:10" x14ac:dyDescent="0.3">
      <c r="A46" s="18" t="s">
        <v>74</v>
      </c>
      <c r="B46" s="18">
        <v>105.4</v>
      </c>
      <c r="C46" s="18" t="s">
        <v>973</v>
      </c>
      <c r="D46" s="18" t="s">
        <v>974</v>
      </c>
      <c r="E46" s="18">
        <v>-1.77E-2</v>
      </c>
      <c r="F46" s="18">
        <v>104.3</v>
      </c>
      <c r="G46" s="18">
        <v>108.2</v>
      </c>
      <c r="H46" s="18">
        <v>106.31</v>
      </c>
      <c r="I46" s="18">
        <v>265549109</v>
      </c>
      <c r="J46" s="18">
        <v>2497957</v>
      </c>
    </row>
    <row r="47" spans="1:10" x14ac:dyDescent="0.3">
      <c r="A47" s="18" t="s">
        <v>75</v>
      </c>
      <c r="B47" s="18">
        <v>26.56</v>
      </c>
      <c r="C47" s="18" t="s">
        <v>975</v>
      </c>
      <c r="D47" s="18" t="s">
        <v>976</v>
      </c>
      <c r="E47" s="18">
        <v>-3.7699999999999997E-2</v>
      </c>
      <c r="F47" s="18">
        <v>26.56</v>
      </c>
      <c r="G47" s="18">
        <v>27.88</v>
      </c>
      <c r="H47" s="18">
        <v>27.05</v>
      </c>
      <c r="I47" s="18">
        <v>39452283</v>
      </c>
      <c r="J47" s="18">
        <v>1458273</v>
      </c>
    </row>
    <row r="48" spans="1:10" x14ac:dyDescent="0.3">
      <c r="A48" s="18" t="s">
        <v>76</v>
      </c>
      <c r="B48" s="18">
        <v>32.4</v>
      </c>
      <c r="C48" s="18" t="s">
        <v>977</v>
      </c>
      <c r="D48" s="18" t="s">
        <v>978</v>
      </c>
      <c r="E48" s="18">
        <v>-4.5900000000000003E-2</v>
      </c>
      <c r="F48" s="18">
        <v>32.4</v>
      </c>
      <c r="G48" s="18">
        <v>34.200000000000003</v>
      </c>
      <c r="H48" s="18">
        <v>33.020000000000003</v>
      </c>
      <c r="I48" s="18">
        <v>68574365</v>
      </c>
      <c r="J48" s="18">
        <v>2076587</v>
      </c>
    </row>
    <row r="49" spans="1:10" x14ac:dyDescent="0.3">
      <c r="A49" s="18" t="s">
        <v>77</v>
      </c>
      <c r="B49" s="18">
        <v>34.42</v>
      </c>
      <c r="C49" s="18" t="s">
        <v>979</v>
      </c>
      <c r="D49" s="18" t="s">
        <v>710</v>
      </c>
      <c r="E49" s="18">
        <v>-2.3300000000000001E-2</v>
      </c>
      <c r="F49" s="18">
        <v>34.24</v>
      </c>
      <c r="G49" s="18">
        <v>35.78</v>
      </c>
      <c r="H49" s="18">
        <v>34.869999999999997</v>
      </c>
      <c r="I49" s="18">
        <v>69540916</v>
      </c>
      <c r="J49" s="18">
        <v>1994525</v>
      </c>
    </row>
    <row r="50" spans="1:10" x14ac:dyDescent="0.3">
      <c r="A50" s="18" t="s">
        <v>78</v>
      </c>
      <c r="B50" s="18">
        <v>19.72</v>
      </c>
      <c r="C50" s="18" t="s">
        <v>712</v>
      </c>
      <c r="D50" s="18" t="s">
        <v>980</v>
      </c>
      <c r="E50" s="18">
        <v>-3.4299999999999997E-2</v>
      </c>
      <c r="F50" s="18">
        <v>19.66</v>
      </c>
      <c r="G50" s="18">
        <v>20.420000000000002</v>
      </c>
      <c r="H50" s="18">
        <v>19.899999999999999</v>
      </c>
      <c r="I50" s="18">
        <v>14958788</v>
      </c>
      <c r="J50" s="18">
        <v>751748</v>
      </c>
    </row>
    <row r="51" spans="1:10" x14ac:dyDescent="0.3">
      <c r="A51" s="18" t="s">
        <v>79</v>
      </c>
      <c r="B51" s="18">
        <v>27.74</v>
      </c>
      <c r="C51" s="18" t="s">
        <v>845</v>
      </c>
      <c r="D51" s="18" t="s">
        <v>846</v>
      </c>
      <c r="E51" s="18">
        <v>1.46E-2</v>
      </c>
      <c r="F51" s="18">
        <v>27.02</v>
      </c>
      <c r="G51" s="18">
        <v>27.86</v>
      </c>
      <c r="H51" s="18">
        <v>27.44</v>
      </c>
      <c r="I51" s="18">
        <v>19073399</v>
      </c>
      <c r="J51" s="18">
        <v>695222</v>
      </c>
    </row>
    <row r="52" spans="1:10" x14ac:dyDescent="0.3">
      <c r="A52" s="18" t="s">
        <v>80</v>
      </c>
      <c r="B52" s="18">
        <v>4.32</v>
      </c>
      <c r="C52" s="18" t="s">
        <v>981</v>
      </c>
      <c r="D52" s="18" t="s">
        <v>982</v>
      </c>
      <c r="E52" s="18">
        <v>-1.14E-2</v>
      </c>
      <c r="F52" s="18">
        <v>4.3</v>
      </c>
      <c r="G52" s="18">
        <v>4.4400000000000004</v>
      </c>
      <c r="H52" s="18">
        <v>4.37</v>
      </c>
      <c r="I52" s="18">
        <v>31933196</v>
      </c>
      <c r="J52" s="18">
        <v>7300334</v>
      </c>
    </row>
    <row r="53" spans="1:10" x14ac:dyDescent="0.3">
      <c r="A53" s="18" t="s">
        <v>81</v>
      </c>
      <c r="B53" s="18">
        <v>129.6</v>
      </c>
      <c r="C53" s="18" t="s">
        <v>983</v>
      </c>
      <c r="D53" s="18" t="s">
        <v>984</v>
      </c>
      <c r="E53" s="18">
        <v>-1.9699999999999999E-2</v>
      </c>
      <c r="F53" s="18">
        <v>128.6</v>
      </c>
      <c r="G53" s="18">
        <v>132.6</v>
      </c>
      <c r="H53" s="18">
        <v>130.38999999999999</v>
      </c>
      <c r="I53" s="18">
        <v>3788764970</v>
      </c>
      <c r="J53" s="18">
        <v>29057534</v>
      </c>
    </row>
    <row r="54" spans="1:10" x14ac:dyDescent="0.3">
      <c r="A54" s="18" t="s">
        <v>82</v>
      </c>
      <c r="B54" s="18">
        <v>10.39</v>
      </c>
      <c r="C54" s="18" t="s">
        <v>713</v>
      </c>
      <c r="D54" s="18" t="s">
        <v>985</v>
      </c>
      <c r="E54" s="18">
        <v>-6.7000000000000002E-3</v>
      </c>
      <c r="F54" s="18">
        <v>10.37</v>
      </c>
      <c r="G54" s="18">
        <v>10.52</v>
      </c>
      <c r="H54" s="18">
        <v>10.44</v>
      </c>
      <c r="I54" s="18">
        <v>24409990</v>
      </c>
      <c r="J54" s="18">
        <v>2337444</v>
      </c>
    </row>
    <row r="55" spans="1:10" x14ac:dyDescent="0.3">
      <c r="A55" s="18" t="s">
        <v>83</v>
      </c>
      <c r="B55" s="18">
        <v>93.55</v>
      </c>
      <c r="C55" s="18" t="s">
        <v>714</v>
      </c>
      <c r="D55" s="18" t="s">
        <v>986</v>
      </c>
      <c r="E55" s="18">
        <v>-4.7999999999999996E-3</v>
      </c>
      <c r="F55" s="18">
        <v>92.2</v>
      </c>
      <c r="G55" s="18">
        <v>95.2</v>
      </c>
      <c r="H55" s="18">
        <v>93.7</v>
      </c>
      <c r="I55" s="18">
        <v>776137616</v>
      </c>
      <c r="J55" s="18">
        <v>8283189</v>
      </c>
    </row>
    <row r="56" spans="1:10" x14ac:dyDescent="0.3">
      <c r="A56" s="18" t="s">
        <v>84</v>
      </c>
      <c r="B56" s="18">
        <v>56.1</v>
      </c>
      <c r="C56" s="18" t="s">
        <v>987</v>
      </c>
      <c r="D56" s="18" t="s">
        <v>988</v>
      </c>
      <c r="E56" s="18">
        <v>1.3599999999999999E-2</v>
      </c>
      <c r="F56" s="18">
        <v>54.9</v>
      </c>
      <c r="G56" s="18">
        <v>56.75</v>
      </c>
      <c r="H56" s="18">
        <v>55.69</v>
      </c>
      <c r="I56" s="18">
        <v>29833910</v>
      </c>
      <c r="J56" s="18">
        <v>535708</v>
      </c>
    </row>
    <row r="57" spans="1:10" x14ac:dyDescent="0.3">
      <c r="A57" s="18" t="s">
        <v>85</v>
      </c>
      <c r="B57" s="18">
        <v>10.68</v>
      </c>
      <c r="C57" s="18" t="s">
        <v>989</v>
      </c>
      <c r="D57" s="18" t="s">
        <v>990</v>
      </c>
      <c r="E57" s="18">
        <v>-2.9100000000000001E-2</v>
      </c>
      <c r="F57" s="18">
        <v>10.210000000000001</v>
      </c>
      <c r="G57" s="18">
        <v>10.99</v>
      </c>
      <c r="H57" s="18">
        <v>10.62</v>
      </c>
      <c r="I57" s="18">
        <v>2358448</v>
      </c>
      <c r="J57" s="18">
        <v>222121</v>
      </c>
    </row>
    <row r="58" spans="1:10" x14ac:dyDescent="0.3">
      <c r="A58" s="18" t="s">
        <v>86</v>
      </c>
      <c r="B58" s="18">
        <v>40.26</v>
      </c>
      <c r="C58" s="18" t="s">
        <v>991</v>
      </c>
      <c r="D58" s="18" t="s">
        <v>992</v>
      </c>
      <c r="E58" s="18">
        <v>-2.3800000000000002E-2</v>
      </c>
      <c r="F58" s="18">
        <v>39.76</v>
      </c>
      <c r="G58" s="18">
        <v>41.46</v>
      </c>
      <c r="H58" s="18">
        <v>40.229999999999997</v>
      </c>
      <c r="I58" s="18">
        <v>15017031</v>
      </c>
      <c r="J58" s="18">
        <v>373311</v>
      </c>
    </row>
    <row r="59" spans="1:10" x14ac:dyDescent="0.3">
      <c r="A59" s="18" t="s">
        <v>87</v>
      </c>
      <c r="B59" s="18">
        <v>75</v>
      </c>
      <c r="C59" s="18" t="s">
        <v>682</v>
      </c>
      <c r="D59" s="18" t="s">
        <v>691</v>
      </c>
      <c r="E59" s="18">
        <v>-3.7199999999999997E-2</v>
      </c>
      <c r="F59" s="18">
        <v>74.45</v>
      </c>
      <c r="G59" s="18">
        <v>78</v>
      </c>
      <c r="H59" s="18">
        <v>75.53</v>
      </c>
      <c r="I59" s="18">
        <v>62832340</v>
      </c>
      <c r="J59" s="18">
        <v>831940</v>
      </c>
    </row>
    <row r="60" spans="1:10" x14ac:dyDescent="0.3">
      <c r="A60" s="18" t="s">
        <v>88</v>
      </c>
      <c r="B60" s="18">
        <v>74.599999999999994</v>
      </c>
      <c r="C60" s="18" t="s">
        <v>993</v>
      </c>
      <c r="D60" s="18" t="s">
        <v>994</v>
      </c>
      <c r="E60" s="18">
        <v>-2E-3</v>
      </c>
      <c r="F60" s="18">
        <v>74.599999999999994</v>
      </c>
      <c r="G60" s="18">
        <v>74.75</v>
      </c>
      <c r="H60" s="18">
        <v>74.62</v>
      </c>
      <c r="I60" s="18">
        <v>601134</v>
      </c>
      <c r="J60" s="18">
        <v>8056</v>
      </c>
    </row>
    <row r="61" spans="1:10" x14ac:dyDescent="0.3">
      <c r="A61" s="18" t="s">
        <v>90</v>
      </c>
      <c r="B61" s="18">
        <v>5.85</v>
      </c>
      <c r="C61" s="18" t="s">
        <v>692</v>
      </c>
      <c r="D61" s="18" t="s">
        <v>995</v>
      </c>
      <c r="E61" s="18">
        <v>-1.52E-2</v>
      </c>
      <c r="F61" s="18">
        <v>5.45</v>
      </c>
      <c r="G61" s="18">
        <v>5.89</v>
      </c>
      <c r="H61" s="18">
        <v>5.66</v>
      </c>
      <c r="I61" s="18">
        <v>11277163</v>
      </c>
      <c r="J61" s="18">
        <v>1992627</v>
      </c>
    </row>
    <row r="62" spans="1:10" x14ac:dyDescent="0.3">
      <c r="A62" s="18" t="s">
        <v>91</v>
      </c>
      <c r="B62" s="18">
        <v>60.5</v>
      </c>
      <c r="C62" s="18" t="s">
        <v>996</v>
      </c>
      <c r="D62" s="18" t="s">
        <v>997</v>
      </c>
      <c r="E62" s="18">
        <v>9.8000000000000004E-2</v>
      </c>
      <c r="F62" s="18">
        <v>55.7</v>
      </c>
      <c r="G62" s="18">
        <v>60.5</v>
      </c>
      <c r="H62" s="18">
        <v>58.15</v>
      </c>
      <c r="I62" s="18">
        <v>6614875</v>
      </c>
      <c r="J62" s="18">
        <v>113749</v>
      </c>
    </row>
    <row r="63" spans="1:10" x14ac:dyDescent="0.3">
      <c r="A63" s="18" t="s">
        <v>92</v>
      </c>
      <c r="B63" s="18">
        <v>8.56</v>
      </c>
      <c r="C63" s="18" t="s">
        <v>998</v>
      </c>
      <c r="D63" s="18" t="s">
        <v>999</v>
      </c>
      <c r="E63" s="18">
        <v>-1.72E-2</v>
      </c>
      <c r="F63" s="18">
        <v>8.5500000000000007</v>
      </c>
      <c r="G63" s="18">
        <v>8.91</v>
      </c>
      <c r="H63" s="18">
        <v>8.6999999999999993</v>
      </c>
      <c r="I63" s="18">
        <v>2548383</v>
      </c>
      <c r="J63" s="18">
        <v>292850</v>
      </c>
    </row>
    <row r="64" spans="1:10" x14ac:dyDescent="0.3">
      <c r="A64" s="18" t="s">
        <v>93</v>
      </c>
      <c r="B64" s="18">
        <v>40.82</v>
      </c>
      <c r="C64" s="18" t="s">
        <v>1000</v>
      </c>
      <c r="D64" s="18" t="s">
        <v>1001</v>
      </c>
      <c r="E64" s="18">
        <v>-1.8800000000000001E-2</v>
      </c>
      <c r="F64" s="18">
        <v>39.56</v>
      </c>
      <c r="G64" s="18">
        <v>44.36</v>
      </c>
      <c r="H64" s="18">
        <v>41.73</v>
      </c>
      <c r="I64" s="18">
        <v>437317840</v>
      </c>
      <c r="J64" s="18">
        <v>10480371</v>
      </c>
    </row>
    <row r="65" spans="1:10" x14ac:dyDescent="0.3">
      <c r="A65" s="18" t="s">
        <v>94</v>
      </c>
      <c r="B65" s="18">
        <v>2.63</v>
      </c>
      <c r="C65" s="18" t="s">
        <v>1002</v>
      </c>
      <c r="D65" s="18" t="s">
        <v>1003</v>
      </c>
      <c r="E65" s="18">
        <v>-3.3099999999999997E-2</v>
      </c>
      <c r="F65" s="18">
        <v>2.63</v>
      </c>
      <c r="G65" s="18">
        <v>2.73</v>
      </c>
      <c r="H65" s="18">
        <v>2.67</v>
      </c>
      <c r="I65" s="18">
        <v>9996344</v>
      </c>
      <c r="J65" s="18">
        <v>3747235</v>
      </c>
    </row>
    <row r="66" spans="1:10" x14ac:dyDescent="0.3">
      <c r="A66" s="18" t="s">
        <v>95</v>
      </c>
      <c r="B66" s="18">
        <v>52.25</v>
      </c>
      <c r="C66" s="18" t="s">
        <v>1004</v>
      </c>
      <c r="D66" s="18" t="s">
        <v>1005</v>
      </c>
      <c r="E66" s="18">
        <v>1E-3</v>
      </c>
      <c r="F66" s="18">
        <v>51.9</v>
      </c>
      <c r="G66" s="18">
        <v>53</v>
      </c>
      <c r="H66" s="18">
        <v>52.25</v>
      </c>
      <c r="I66" s="18">
        <v>43400539</v>
      </c>
      <c r="J66" s="18">
        <v>830631</v>
      </c>
    </row>
    <row r="67" spans="1:10" x14ac:dyDescent="0.3">
      <c r="A67" s="18" t="s">
        <v>96</v>
      </c>
      <c r="B67" s="18">
        <v>10.4</v>
      </c>
      <c r="C67" s="18" t="s">
        <v>713</v>
      </c>
      <c r="D67" s="18" t="s">
        <v>985</v>
      </c>
      <c r="E67" s="18">
        <v>-1.23E-2</v>
      </c>
      <c r="F67" s="18">
        <v>10.38</v>
      </c>
      <c r="G67" s="18">
        <v>10.62</v>
      </c>
      <c r="H67" s="18">
        <v>10.47</v>
      </c>
      <c r="I67" s="18">
        <v>2431052</v>
      </c>
      <c r="J67" s="18">
        <v>232308</v>
      </c>
    </row>
    <row r="68" spans="1:10" x14ac:dyDescent="0.3">
      <c r="A68" s="18" t="s">
        <v>97</v>
      </c>
      <c r="B68" s="18">
        <v>401.25</v>
      </c>
      <c r="C68" s="18" t="s">
        <v>717</v>
      </c>
      <c r="D68" s="18" t="s">
        <v>1006</v>
      </c>
      <c r="E68" s="18">
        <v>0</v>
      </c>
      <c r="F68" s="18">
        <v>400</v>
      </c>
      <c r="G68" s="18">
        <v>407</v>
      </c>
      <c r="H68" s="18">
        <v>402.8</v>
      </c>
      <c r="I68" s="18">
        <v>9764635</v>
      </c>
      <c r="J68" s="18">
        <v>24242</v>
      </c>
    </row>
    <row r="69" spans="1:10" x14ac:dyDescent="0.3">
      <c r="A69" s="18" t="s">
        <v>98</v>
      </c>
      <c r="B69" s="18">
        <v>16.07</v>
      </c>
      <c r="C69" s="18" t="s">
        <v>1007</v>
      </c>
      <c r="D69" s="18" t="s">
        <v>706</v>
      </c>
      <c r="E69" s="18">
        <v>-2.6100000000000002E-2</v>
      </c>
      <c r="F69" s="18">
        <v>16.059999999999999</v>
      </c>
      <c r="G69" s="18">
        <v>16.57</v>
      </c>
      <c r="H69" s="18">
        <v>16.32</v>
      </c>
      <c r="I69" s="18">
        <v>16890888</v>
      </c>
      <c r="J69" s="18">
        <v>1035296</v>
      </c>
    </row>
    <row r="70" spans="1:10" x14ac:dyDescent="0.3">
      <c r="A70" s="18" t="s">
        <v>99</v>
      </c>
      <c r="B70" s="18">
        <v>23.72</v>
      </c>
      <c r="C70" s="18" t="s">
        <v>699</v>
      </c>
      <c r="D70" s="18" t="s">
        <v>1008</v>
      </c>
      <c r="E70" s="18">
        <v>-9.1999999999999998E-3</v>
      </c>
      <c r="F70" s="18">
        <v>23.62</v>
      </c>
      <c r="G70" s="18">
        <v>24.12</v>
      </c>
      <c r="H70" s="18">
        <v>23.83</v>
      </c>
      <c r="I70" s="18">
        <v>10221793</v>
      </c>
      <c r="J70" s="18">
        <v>428939</v>
      </c>
    </row>
    <row r="71" spans="1:10" x14ac:dyDescent="0.3">
      <c r="A71" s="18" t="s">
        <v>100</v>
      </c>
      <c r="B71" s="18">
        <v>10.17</v>
      </c>
      <c r="C71" s="18" t="s">
        <v>1009</v>
      </c>
      <c r="D71" s="18" t="s">
        <v>89</v>
      </c>
      <c r="E71" s="18">
        <v>9.9500000000000005E-2</v>
      </c>
      <c r="F71" s="18">
        <v>9.3000000000000007</v>
      </c>
      <c r="G71" s="18">
        <v>10.17</v>
      </c>
      <c r="H71" s="18">
        <v>9.84</v>
      </c>
      <c r="I71" s="18">
        <v>2960515</v>
      </c>
      <c r="J71" s="18">
        <v>300861</v>
      </c>
    </row>
    <row r="72" spans="1:10" x14ac:dyDescent="0.3">
      <c r="A72" s="18" t="s">
        <v>101</v>
      </c>
      <c r="B72" s="18">
        <v>128.19999999999999</v>
      </c>
      <c r="C72" s="18" t="s">
        <v>718</v>
      </c>
      <c r="D72" s="18" t="s">
        <v>1010</v>
      </c>
      <c r="E72" s="18">
        <v>2.1499999999999998E-2</v>
      </c>
      <c r="F72" s="18">
        <v>123.1</v>
      </c>
      <c r="G72" s="18">
        <v>128.19999999999999</v>
      </c>
      <c r="H72" s="18">
        <v>125.38</v>
      </c>
      <c r="I72" s="18">
        <v>54703603</v>
      </c>
      <c r="J72" s="18">
        <v>436309</v>
      </c>
    </row>
    <row r="73" spans="1:10" x14ac:dyDescent="0.3">
      <c r="A73" s="18" t="s">
        <v>102</v>
      </c>
      <c r="B73" s="18">
        <v>38.36</v>
      </c>
      <c r="C73" s="18" t="s">
        <v>1011</v>
      </c>
      <c r="D73" s="18" t="s">
        <v>1012</v>
      </c>
      <c r="E73" s="18">
        <v>-1.7399999999999999E-2</v>
      </c>
      <c r="F73" s="18">
        <v>38.22</v>
      </c>
      <c r="G73" s="18">
        <v>39.799999999999997</v>
      </c>
      <c r="H73" s="18">
        <v>38.630000000000003</v>
      </c>
      <c r="I73" s="18">
        <v>27458193</v>
      </c>
      <c r="J73" s="18">
        <v>710730</v>
      </c>
    </row>
    <row r="74" spans="1:10" x14ac:dyDescent="0.3">
      <c r="A74" s="18" t="s">
        <v>103</v>
      </c>
      <c r="B74" s="18">
        <v>26.68</v>
      </c>
      <c r="C74" s="18" t="s">
        <v>1013</v>
      </c>
      <c r="D74" s="18" t="s">
        <v>1014</v>
      </c>
      <c r="E74" s="18">
        <v>0</v>
      </c>
      <c r="F74" s="18">
        <v>26.3</v>
      </c>
      <c r="G74" s="18">
        <v>27.28</v>
      </c>
      <c r="H74" s="18">
        <v>26.7</v>
      </c>
      <c r="I74" s="18">
        <v>35575860</v>
      </c>
      <c r="J74" s="18">
        <v>1332462</v>
      </c>
    </row>
    <row r="75" spans="1:10" x14ac:dyDescent="0.3">
      <c r="A75" s="18" t="s">
        <v>104</v>
      </c>
      <c r="B75" s="18">
        <v>40.98</v>
      </c>
      <c r="C75" s="18" t="s">
        <v>1015</v>
      </c>
      <c r="D75" s="18" t="s">
        <v>1016</v>
      </c>
      <c r="E75" s="18">
        <v>-1.44E-2</v>
      </c>
      <c r="F75" s="18">
        <v>40.92</v>
      </c>
      <c r="G75" s="18">
        <v>41.8</v>
      </c>
      <c r="H75" s="18">
        <v>41.25</v>
      </c>
      <c r="I75" s="18">
        <v>11578099</v>
      </c>
      <c r="J75" s="18">
        <v>280714</v>
      </c>
    </row>
    <row r="76" spans="1:10" x14ac:dyDescent="0.3">
      <c r="A76" s="18" t="s">
        <v>105</v>
      </c>
      <c r="B76" s="18">
        <v>29.64</v>
      </c>
      <c r="C76" s="18" t="s">
        <v>668</v>
      </c>
      <c r="D76" s="18" t="s">
        <v>1017</v>
      </c>
      <c r="E76" s="18">
        <v>-3.1399999999999997E-2</v>
      </c>
      <c r="F76" s="18">
        <v>29.52</v>
      </c>
      <c r="G76" s="18">
        <v>30.6</v>
      </c>
      <c r="H76" s="18">
        <v>29.88</v>
      </c>
      <c r="I76" s="18">
        <v>6371733</v>
      </c>
      <c r="J76" s="18">
        <v>213243</v>
      </c>
    </row>
    <row r="77" spans="1:10" x14ac:dyDescent="0.3">
      <c r="A77" s="18" t="s">
        <v>106</v>
      </c>
      <c r="B77" s="18">
        <v>48.5</v>
      </c>
      <c r="C77" s="18" t="s">
        <v>1018</v>
      </c>
      <c r="D77" s="18" t="s">
        <v>1019</v>
      </c>
      <c r="E77" s="18">
        <v>1.04E-2</v>
      </c>
      <c r="F77" s="18">
        <v>48.04</v>
      </c>
      <c r="G77" s="18">
        <v>48.5</v>
      </c>
      <c r="H77" s="18">
        <v>48.47</v>
      </c>
      <c r="I77" s="18">
        <v>1529400</v>
      </c>
      <c r="J77" s="18">
        <v>31556</v>
      </c>
    </row>
    <row r="78" spans="1:10" x14ac:dyDescent="0.3">
      <c r="A78" s="18" t="s">
        <v>107</v>
      </c>
      <c r="B78" s="18">
        <v>23.12</v>
      </c>
      <c r="C78" s="18" t="s">
        <v>1020</v>
      </c>
      <c r="D78" s="18" t="s">
        <v>875</v>
      </c>
      <c r="E78" s="18">
        <v>7.0400000000000004E-2</v>
      </c>
      <c r="F78" s="18">
        <v>21.48</v>
      </c>
      <c r="G78" s="18">
        <v>23.68</v>
      </c>
      <c r="H78" s="18">
        <v>22.66</v>
      </c>
      <c r="I78" s="18">
        <v>360266102</v>
      </c>
      <c r="J78" s="18">
        <v>15899508</v>
      </c>
    </row>
    <row r="79" spans="1:10" x14ac:dyDescent="0.3">
      <c r="A79" s="18" t="s">
        <v>108</v>
      </c>
      <c r="B79" s="18">
        <v>195.2</v>
      </c>
      <c r="C79" s="18" t="s">
        <v>1021</v>
      </c>
      <c r="D79" s="18" t="s">
        <v>1022</v>
      </c>
      <c r="E79" s="18">
        <v>-3.2199999999999999E-2</v>
      </c>
      <c r="F79" s="18">
        <v>194.9</v>
      </c>
      <c r="G79" s="18">
        <v>201.5</v>
      </c>
      <c r="H79" s="18">
        <v>197.04</v>
      </c>
      <c r="I79" s="18">
        <v>48907369</v>
      </c>
      <c r="J79" s="18">
        <v>248212</v>
      </c>
    </row>
    <row r="80" spans="1:10" x14ac:dyDescent="0.3">
      <c r="A80" s="18" t="s">
        <v>109</v>
      </c>
      <c r="B80" s="18">
        <v>17</v>
      </c>
      <c r="C80" s="18" t="s">
        <v>1023</v>
      </c>
      <c r="D80" s="18" t="s">
        <v>1024</v>
      </c>
      <c r="E80" s="18">
        <v>-5.7999999999999996E-3</v>
      </c>
      <c r="F80" s="18">
        <v>16.739999999999998</v>
      </c>
      <c r="G80" s="18">
        <v>17.23</v>
      </c>
      <c r="H80" s="18">
        <v>16.93</v>
      </c>
      <c r="I80" s="18">
        <v>16494969</v>
      </c>
      <c r="J80" s="18">
        <v>974404</v>
      </c>
    </row>
    <row r="81" spans="1:10" x14ac:dyDescent="0.3">
      <c r="A81" s="18" t="s">
        <v>110</v>
      </c>
      <c r="B81" s="18">
        <v>9.9</v>
      </c>
      <c r="C81" s="18" t="s">
        <v>771</v>
      </c>
      <c r="D81" s="18" t="s">
        <v>1025</v>
      </c>
      <c r="E81" s="18">
        <v>5.1000000000000004E-3</v>
      </c>
      <c r="F81" s="18">
        <v>9.9</v>
      </c>
      <c r="G81" s="18">
        <v>10.1</v>
      </c>
      <c r="H81" s="18">
        <v>10.06</v>
      </c>
      <c r="I81" s="18">
        <v>1491258</v>
      </c>
      <c r="J81" s="18">
        <v>148277</v>
      </c>
    </row>
    <row r="82" spans="1:10" x14ac:dyDescent="0.3">
      <c r="A82" s="18" t="s">
        <v>111</v>
      </c>
      <c r="B82" s="18">
        <v>34.54</v>
      </c>
      <c r="C82" s="18" t="s">
        <v>1026</v>
      </c>
      <c r="D82" s="18" t="s">
        <v>1027</v>
      </c>
      <c r="E82" s="18">
        <v>-1.1999999999999999E-3</v>
      </c>
      <c r="F82" s="18">
        <v>34.14</v>
      </c>
      <c r="G82" s="18">
        <v>34.9</v>
      </c>
      <c r="H82" s="18">
        <v>34.47</v>
      </c>
      <c r="I82" s="18">
        <v>17181843</v>
      </c>
      <c r="J82" s="18">
        <v>498531</v>
      </c>
    </row>
    <row r="83" spans="1:10" x14ac:dyDescent="0.3">
      <c r="A83" s="18" t="s">
        <v>112</v>
      </c>
      <c r="B83" s="18">
        <v>19.989999999999998</v>
      </c>
      <c r="C83" s="18" t="s">
        <v>1028</v>
      </c>
      <c r="D83" s="18" t="s">
        <v>727</v>
      </c>
      <c r="E83" s="18">
        <v>3.2500000000000001E-2</v>
      </c>
      <c r="F83" s="18">
        <v>18.829999999999998</v>
      </c>
      <c r="G83" s="18">
        <v>20.059999999999999</v>
      </c>
      <c r="H83" s="18">
        <v>19.489999999999998</v>
      </c>
      <c r="I83" s="18">
        <v>165452423</v>
      </c>
      <c r="J83" s="18">
        <v>8491307</v>
      </c>
    </row>
    <row r="84" spans="1:10" x14ac:dyDescent="0.3">
      <c r="A84" s="18" t="s">
        <v>113</v>
      </c>
      <c r="B84" s="18">
        <v>7.7</v>
      </c>
      <c r="C84" s="18" t="s">
        <v>89</v>
      </c>
      <c r="D84" s="18" t="s">
        <v>722</v>
      </c>
      <c r="E84" s="18">
        <v>-9.9400000000000002E-2</v>
      </c>
      <c r="F84" s="18">
        <v>7.7</v>
      </c>
      <c r="G84" s="18">
        <v>8.08</v>
      </c>
      <c r="H84" s="18">
        <v>7.78</v>
      </c>
      <c r="I84" s="18">
        <v>103404626</v>
      </c>
      <c r="J84" s="18">
        <v>13290436</v>
      </c>
    </row>
    <row r="85" spans="1:10" x14ac:dyDescent="0.3">
      <c r="A85" s="18" t="s">
        <v>114</v>
      </c>
      <c r="B85" s="18">
        <v>14.05</v>
      </c>
      <c r="C85" s="18" t="s">
        <v>1029</v>
      </c>
      <c r="D85" s="18" t="s">
        <v>1030</v>
      </c>
      <c r="E85" s="18">
        <v>-3.6400000000000002E-2</v>
      </c>
      <c r="F85" s="18">
        <v>14.03</v>
      </c>
      <c r="G85" s="18">
        <v>14.61</v>
      </c>
      <c r="H85" s="18">
        <v>14.24</v>
      </c>
      <c r="I85" s="18">
        <v>63706320</v>
      </c>
      <c r="J85" s="18">
        <v>4472390</v>
      </c>
    </row>
    <row r="86" spans="1:10" x14ac:dyDescent="0.3">
      <c r="A86" s="18" t="s">
        <v>115</v>
      </c>
      <c r="B86" s="18">
        <v>20.12</v>
      </c>
      <c r="C86" s="18" t="s">
        <v>1031</v>
      </c>
      <c r="D86" s="18" t="s">
        <v>1032</v>
      </c>
      <c r="E86" s="18">
        <v>-2.9899999999999999E-2</v>
      </c>
      <c r="F86" s="18">
        <v>20</v>
      </c>
      <c r="G86" s="18">
        <v>20.98</v>
      </c>
      <c r="H86" s="18">
        <v>20.36</v>
      </c>
      <c r="I86" s="18">
        <v>29660371</v>
      </c>
      <c r="J86" s="18">
        <v>1456809</v>
      </c>
    </row>
    <row r="87" spans="1:10" x14ac:dyDescent="0.3">
      <c r="A87" s="18" t="s">
        <v>116</v>
      </c>
      <c r="B87" s="18">
        <v>170</v>
      </c>
      <c r="C87" s="18" t="s">
        <v>724</v>
      </c>
      <c r="D87" s="18" t="s">
        <v>89</v>
      </c>
      <c r="E87" s="18">
        <v>9.9599999999999994E-2</v>
      </c>
      <c r="F87" s="18">
        <v>154.1</v>
      </c>
      <c r="G87" s="18">
        <v>170</v>
      </c>
      <c r="H87" s="18">
        <v>165.31</v>
      </c>
      <c r="I87" s="18">
        <v>131429295</v>
      </c>
      <c r="J87" s="18">
        <v>795027</v>
      </c>
    </row>
    <row r="88" spans="1:10" x14ac:dyDescent="0.3">
      <c r="A88" s="18" t="s">
        <v>117</v>
      </c>
      <c r="B88" s="18">
        <v>42.1</v>
      </c>
      <c r="C88" s="18" t="s">
        <v>1033</v>
      </c>
      <c r="D88" s="18" t="s">
        <v>1034</v>
      </c>
      <c r="E88" s="18">
        <v>2.6800000000000001E-2</v>
      </c>
      <c r="F88" s="18">
        <v>39.96</v>
      </c>
      <c r="G88" s="18">
        <v>43.2</v>
      </c>
      <c r="H88" s="18">
        <v>41.81</v>
      </c>
      <c r="I88" s="18">
        <v>190808861</v>
      </c>
      <c r="J88" s="18">
        <v>4563374</v>
      </c>
    </row>
    <row r="89" spans="1:10" x14ac:dyDescent="0.3">
      <c r="A89" s="18" t="s">
        <v>118</v>
      </c>
      <c r="B89" s="18">
        <v>34.24</v>
      </c>
      <c r="C89" s="18" t="s">
        <v>1035</v>
      </c>
      <c r="D89" s="18" t="s">
        <v>1036</v>
      </c>
      <c r="E89" s="18">
        <v>0.01</v>
      </c>
      <c r="F89" s="18">
        <v>32.06</v>
      </c>
      <c r="G89" s="18">
        <v>35.5</v>
      </c>
      <c r="H89" s="18">
        <v>34.020000000000003</v>
      </c>
      <c r="I89" s="18">
        <v>129421911</v>
      </c>
      <c r="J89" s="18">
        <v>3804001</v>
      </c>
    </row>
    <row r="90" spans="1:10" x14ac:dyDescent="0.3">
      <c r="A90" s="18" t="s">
        <v>119</v>
      </c>
      <c r="B90" s="18">
        <v>11.3</v>
      </c>
      <c r="C90" s="18" t="s">
        <v>726</v>
      </c>
      <c r="D90" s="18" t="s">
        <v>1037</v>
      </c>
      <c r="E90" s="18">
        <v>-2.1600000000000001E-2</v>
      </c>
      <c r="F90" s="18">
        <v>11.17</v>
      </c>
      <c r="G90" s="18">
        <v>11.61</v>
      </c>
      <c r="H90" s="18">
        <v>11.36</v>
      </c>
      <c r="I90" s="18">
        <v>144238699</v>
      </c>
      <c r="J90" s="18">
        <v>12701462</v>
      </c>
    </row>
    <row r="91" spans="1:10" x14ac:dyDescent="0.3">
      <c r="A91" s="18" t="s">
        <v>120</v>
      </c>
      <c r="B91" s="18">
        <v>476</v>
      </c>
      <c r="C91" s="18" t="s">
        <v>1038</v>
      </c>
      <c r="D91" s="18" t="s">
        <v>1039</v>
      </c>
      <c r="E91" s="18">
        <v>-1.4500000000000001E-2</v>
      </c>
      <c r="F91" s="18">
        <v>472.5</v>
      </c>
      <c r="G91" s="18">
        <v>483</v>
      </c>
      <c r="H91" s="18">
        <v>476.93</v>
      </c>
      <c r="I91" s="18">
        <v>2773437461</v>
      </c>
      <c r="J91" s="18">
        <v>5815243</v>
      </c>
    </row>
    <row r="92" spans="1:10" x14ac:dyDescent="0.3">
      <c r="A92" s="18" t="s">
        <v>121</v>
      </c>
      <c r="B92" s="18">
        <v>257</v>
      </c>
      <c r="C92" s="18" t="s">
        <v>1040</v>
      </c>
      <c r="D92" s="18" t="s">
        <v>1041</v>
      </c>
      <c r="E92" s="18">
        <v>3.8999999999999998E-3</v>
      </c>
      <c r="F92" s="18">
        <v>248.5</v>
      </c>
      <c r="G92" s="18">
        <v>262.5</v>
      </c>
      <c r="H92" s="18">
        <v>255.81</v>
      </c>
      <c r="I92" s="18">
        <v>169084159</v>
      </c>
      <c r="J92" s="18">
        <v>660965</v>
      </c>
    </row>
    <row r="93" spans="1:10" x14ac:dyDescent="0.3">
      <c r="A93" s="18" t="s">
        <v>122</v>
      </c>
      <c r="B93" s="18">
        <v>200.6</v>
      </c>
      <c r="C93" s="18" t="s">
        <v>1042</v>
      </c>
      <c r="D93" s="18" t="s">
        <v>1043</v>
      </c>
      <c r="E93" s="18">
        <v>-2.5000000000000001E-3</v>
      </c>
      <c r="F93" s="18">
        <v>200</v>
      </c>
      <c r="G93" s="18">
        <v>211</v>
      </c>
      <c r="H93" s="18">
        <v>204.67</v>
      </c>
      <c r="I93" s="18">
        <v>1029903939</v>
      </c>
      <c r="J93" s="18">
        <v>5031990</v>
      </c>
    </row>
    <row r="94" spans="1:10" x14ac:dyDescent="0.3">
      <c r="A94" s="18" t="s">
        <v>123</v>
      </c>
      <c r="B94" s="18">
        <v>19.850000000000001</v>
      </c>
      <c r="C94" s="18" t="s">
        <v>1044</v>
      </c>
      <c r="D94" s="18" t="s">
        <v>1045</v>
      </c>
      <c r="E94" s="18">
        <v>-7.4999999999999997E-3</v>
      </c>
      <c r="F94" s="18">
        <v>19.75</v>
      </c>
      <c r="G94" s="18">
        <v>20.399999999999999</v>
      </c>
      <c r="H94" s="18">
        <v>19.989999999999998</v>
      </c>
      <c r="I94" s="18">
        <v>23174080</v>
      </c>
      <c r="J94" s="18">
        <v>1159145</v>
      </c>
    </row>
    <row r="95" spans="1:10" x14ac:dyDescent="0.3">
      <c r="A95" s="18" t="s">
        <v>124</v>
      </c>
      <c r="B95" s="18">
        <v>23.52</v>
      </c>
      <c r="C95" s="18" t="s">
        <v>1046</v>
      </c>
      <c r="D95" s="18" t="s">
        <v>728</v>
      </c>
      <c r="E95" s="18">
        <v>-1.84E-2</v>
      </c>
      <c r="F95" s="18">
        <v>23.32</v>
      </c>
      <c r="G95" s="18">
        <v>24.1</v>
      </c>
      <c r="H95" s="18">
        <v>23.65</v>
      </c>
      <c r="I95" s="18">
        <v>4747484</v>
      </c>
      <c r="J95" s="18">
        <v>200702</v>
      </c>
    </row>
    <row r="96" spans="1:10" x14ac:dyDescent="0.3">
      <c r="A96" s="18" t="s">
        <v>125</v>
      </c>
      <c r="B96" s="18">
        <v>1.74</v>
      </c>
      <c r="C96" s="18" t="s">
        <v>126</v>
      </c>
      <c r="D96" s="18" t="s">
        <v>1047</v>
      </c>
      <c r="E96" s="18">
        <v>-5.7000000000000002E-3</v>
      </c>
      <c r="F96" s="18">
        <v>1.73</v>
      </c>
      <c r="G96" s="18">
        <v>1.78</v>
      </c>
      <c r="H96" s="18">
        <v>1.75</v>
      </c>
      <c r="I96" s="18">
        <v>145652670</v>
      </c>
      <c r="J96" s="18">
        <v>83092637</v>
      </c>
    </row>
    <row r="97" spans="1:10" x14ac:dyDescent="0.3">
      <c r="A97" s="18" t="s">
        <v>127</v>
      </c>
      <c r="B97" s="18">
        <v>15.99</v>
      </c>
      <c r="C97" s="18" t="s">
        <v>1048</v>
      </c>
      <c r="D97" s="18" t="s">
        <v>647</v>
      </c>
      <c r="E97" s="18">
        <v>0</v>
      </c>
      <c r="F97" s="18">
        <v>15.63</v>
      </c>
      <c r="G97" s="18">
        <v>16.54</v>
      </c>
      <c r="H97" s="18">
        <v>16.12</v>
      </c>
      <c r="I97" s="18">
        <v>30962205</v>
      </c>
      <c r="J97" s="18">
        <v>1920428</v>
      </c>
    </row>
    <row r="98" spans="1:10" x14ac:dyDescent="0.3">
      <c r="A98" s="18" t="s">
        <v>128</v>
      </c>
      <c r="B98" s="18">
        <v>11.44</v>
      </c>
      <c r="C98" s="18" t="s">
        <v>744</v>
      </c>
      <c r="D98" s="18" t="s">
        <v>1049</v>
      </c>
      <c r="E98" s="18">
        <v>-4.6699999999999998E-2</v>
      </c>
      <c r="F98" s="18">
        <v>11</v>
      </c>
      <c r="G98" s="18">
        <v>12.01</v>
      </c>
      <c r="H98" s="18">
        <v>11.54</v>
      </c>
      <c r="I98" s="18">
        <v>7068159</v>
      </c>
      <c r="J98" s="18">
        <v>612587</v>
      </c>
    </row>
    <row r="99" spans="1:10" x14ac:dyDescent="0.3">
      <c r="A99" s="18" t="s">
        <v>129</v>
      </c>
      <c r="B99" s="18">
        <v>57.95</v>
      </c>
      <c r="C99" s="18" t="s">
        <v>1050</v>
      </c>
      <c r="D99" s="18" t="s">
        <v>1051</v>
      </c>
      <c r="E99" s="18">
        <v>-1.6999999999999999E-3</v>
      </c>
      <c r="F99" s="18">
        <v>57.7</v>
      </c>
      <c r="G99" s="18">
        <v>58.6</v>
      </c>
      <c r="H99" s="18">
        <v>58.15</v>
      </c>
      <c r="I99" s="18">
        <v>143360439</v>
      </c>
      <c r="J99" s="18">
        <v>2465400</v>
      </c>
    </row>
    <row r="100" spans="1:10" x14ac:dyDescent="0.3">
      <c r="A100" s="18" t="s">
        <v>130</v>
      </c>
      <c r="B100" s="18">
        <v>6.48</v>
      </c>
      <c r="C100" s="18" t="s">
        <v>730</v>
      </c>
      <c r="D100" s="18" t="s">
        <v>837</v>
      </c>
      <c r="E100" s="18">
        <v>-4.5999999999999999E-3</v>
      </c>
      <c r="F100" s="18">
        <v>6.39</v>
      </c>
      <c r="G100" s="18">
        <v>6.69</v>
      </c>
      <c r="H100" s="18">
        <v>6.51</v>
      </c>
      <c r="I100" s="18">
        <v>44108112</v>
      </c>
      <c r="J100" s="18">
        <v>6771194</v>
      </c>
    </row>
    <row r="101" spans="1:10" x14ac:dyDescent="0.3">
      <c r="A101" s="18" t="s">
        <v>131</v>
      </c>
      <c r="B101" s="18">
        <v>25.6</v>
      </c>
      <c r="C101" s="18" t="s">
        <v>858</v>
      </c>
      <c r="D101" s="18" t="s">
        <v>1052</v>
      </c>
      <c r="E101" s="18">
        <v>-6.5699999999999995E-2</v>
      </c>
      <c r="F101" s="18">
        <v>24.8</v>
      </c>
      <c r="G101" s="18">
        <v>27.56</v>
      </c>
      <c r="H101" s="18">
        <v>26.7</v>
      </c>
      <c r="I101" s="18">
        <v>302260549</v>
      </c>
      <c r="J101" s="18">
        <v>11322671</v>
      </c>
    </row>
    <row r="102" spans="1:10" x14ac:dyDescent="0.3">
      <c r="A102" s="18" t="s">
        <v>132</v>
      </c>
      <c r="B102" s="18">
        <v>101</v>
      </c>
      <c r="C102" s="18" t="s">
        <v>732</v>
      </c>
      <c r="D102" s="18" t="s">
        <v>1053</v>
      </c>
      <c r="E102" s="18">
        <v>0</v>
      </c>
      <c r="F102" s="18">
        <v>99.75</v>
      </c>
      <c r="G102" s="18">
        <v>103.9</v>
      </c>
      <c r="H102" s="18">
        <v>101.26</v>
      </c>
      <c r="I102" s="18">
        <v>94654471</v>
      </c>
      <c r="J102" s="18">
        <v>934790</v>
      </c>
    </row>
    <row r="103" spans="1:10" x14ac:dyDescent="0.3">
      <c r="A103" s="18" t="s">
        <v>133</v>
      </c>
      <c r="B103" s="18">
        <v>21.26</v>
      </c>
      <c r="C103" s="18" t="s">
        <v>778</v>
      </c>
      <c r="D103" s="18" t="s">
        <v>844</v>
      </c>
      <c r="E103" s="18">
        <v>-3.5400000000000001E-2</v>
      </c>
      <c r="F103" s="18">
        <v>21.26</v>
      </c>
      <c r="G103" s="18">
        <v>22.5</v>
      </c>
      <c r="H103" s="18">
        <v>21.9</v>
      </c>
      <c r="I103" s="18">
        <v>65650315</v>
      </c>
      <c r="J103" s="18">
        <v>2997762</v>
      </c>
    </row>
    <row r="104" spans="1:10" x14ac:dyDescent="0.3">
      <c r="A104" s="18" t="s">
        <v>134</v>
      </c>
      <c r="B104" s="18">
        <v>6.18</v>
      </c>
      <c r="C104" s="18" t="s">
        <v>695</v>
      </c>
      <c r="D104" s="18" t="s">
        <v>646</v>
      </c>
      <c r="E104" s="18">
        <v>1.3100000000000001E-2</v>
      </c>
      <c r="F104" s="18">
        <v>6.1</v>
      </c>
      <c r="G104" s="18">
        <v>6.48</v>
      </c>
      <c r="H104" s="18">
        <v>6.31</v>
      </c>
      <c r="I104" s="18">
        <v>82234096</v>
      </c>
      <c r="J104" s="18">
        <v>13042336</v>
      </c>
    </row>
    <row r="105" spans="1:10" x14ac:dyDescent="0.3">
      <c r="A105" s="18" t="s">
        <v>135</v>
      </c>
      <c r="B105" s="18">
        <v>72.349999999999994</v>
      </c>
      <c r="C105" s="18" t="s">
        <v>1054</v>
      </c>
      <c r="D105" s="18" t="s">
        <v>1055</v>
      </c>
      <c r="E105" s="18">
        <v>-1.1599999999999999E-2</v>
      </c>
      <c r="F105" s="18">
        <v>71.75</v>
      </c>
      <c r="G105" s="18">
        <v>73.55</v>
      </c>
      <c r="H105" s="18">
        <v>72.569999999999993</v>
      </c>
      <c r="I105" s="18">
        <v>8053582</v>
      </c>
      <c r="J105" s="18">
        <v>110974</v>
      </c>
    </row>
    <row r="106" spans="1:10" x14ac:dyDescent="0.3">
      <c r="A106" s="18" t="s">
        <v>136</v>
      </c>
      <c r="B106" s="18">
        <v>7.09</v>
      </c>
      <c r="C106" s="18" t="s">
        <v>734</v>
      </c>
      <c r="D106" s="18" t="s">
        <v>1056</v>
      </c>
      <c r="E106" s="18">
        <v>1.29E-2</v>
      </c>
      <c r="F106" s="18">
        <v>7</v>
      </c>
      <c r="G106" s="18">
        <v>7.27</v>
      </c>
      <c r="H106" s="18">
        <v>7.16</v>
      </c>
      <c r="I106" s="18">
        <v>5259577</v>
      </c>
      <c r="J106" s="18">
        <v>735074</v>
      </c>
    </row>
    <row r="107" spans="1:10" x14ac:dyDescent="0.3">
      <c r="A107" s="18" t="s">
        <v>137</v>
      </c>
      <c r="B107" s="18">
        <v>7.02</v>
      </c>
      <c r="C107" s="18" t="s">
        <v>1057</v>
      </c>
      <c r="D107" s="18" t="s">
        <v>1058</v>
      </c>
      <c r="E107" s="18">
        <v>-2.23E-2</v>
      </c>
      <c r="F107" s="18">
        <v>7</v>
      </c>
      <c r="G107" s="18">
        <v>7.25</v>
      </c>
      <c r="H107" s="18">
        <v>7.05</v>
      </c>
      <c r="I107" s="18">
        <v>4107242</v>
      </c>
      <c r="J107" s="18">
        <v>582785</v>
      </c>
    </row>
    <row r="108" spans="1:10" x14ac:dyDescent="0.3">
      <c r="A108" s="18" t="s">
        <v>138</v>
      </c>
      <c r="B108" s="18">
        <v>63.35</v>
      </c>
      <c r="C108" s="18" t="s">
        <v>780</v>
      </c>
      <c r="D108" s="18" t="s">
        <v>816</v>
      </c>
      <c r="E108" s="18">
        <v>3.2000000000000002E-3</v>
      </c>
      <c r="F108" s="18">
        <v>61.95</v>
      </c>
      <c r="G108" s="18">
        <v>65.75</v>
      </c>
      <c r="H108" s="18">
        <v>64.08</v>
      </c>
      <c r="I108" s="18">
        <v>71326535</v>
      </c>
      <c r="J108" s="18">
        <v>1113147</v>
      </c>
    </row>
    <row r="109" spans="1:10" x14ac:dyDescent="0.3">
      <c r="A109" s="18" t="s">
        <v>139</v>
      </c>
      <c r="B109" s="18">
        <v>15.46</v>
      </c>
      <c r="C109" s="18" t="s">
        <v>1059</v>
      </c>
      <c r="D109" s="18" t="s">
        <v>1060</v>
      </c>
      <c r="E109" s="18">
        <v>-2.5999999999999999E-3</v>
      </c>
      <c r="F109" s="18">
        <v>15.46</v>
      </c>
      <c r="G109" s="18">
        <v>16</v>
      </c>
      <c r="H109" s="18">
        <v>15.67</v>
      </c>
      <c r="I109" s="18">
        <v>50561168</v>
      </c>
      <c r="J109" s="18">
        <v>3227528</v>
      </c>
    </row>
    <row r="110" spans="1:10" x14ac:dyDescent="0.3">
      <c r="A110" s="18" t="s">
        <v>140</v>
      </c>
      <c r="B110" s="18">
        <v>5.27</v>
      </c>
      <c r="C110" s="18" t="s">
        <v>1061</v>
      </c>
      <c r="D110" s="18" t="s">
        <v>847</v>
      </c>
      <c r="E110" s="18">
        <v>-6.0600000000000001E-2</v>
      </c>
      <c r="F110" s="18">
        <v>5.27</v>
      </c>
      <c r="G110" s="18">
        <v>5.61</v>
      </c>
      <c r="H110" s="18">
        <v>5.34</v>
      </c>
      <c r="I110" s="18">
        <v>1042874</v>
      </c>
      <c r="J110" s="18">
        <v>195419</v>
      </c>
    </row>
    <row r="111" spans="1:10" x14ac:dyDescent="0.3">
      <c r="A111" s="18" t="s">
        <v>141</v>
      </c>
      <c r="B111" s="18">
        <v>330.75</v>
      </c>
      <c r="C111" s="18" t="s">
        <v>1062</v>
      </c>
      <c r="D111" s="18" t="s">
        <v>1063</v>
      </c>
      <c r="E111" s="18">
        <v>3.0000000000000001E-3</v>
      </c>
      <c r="F111" s="18">
        <v>320.25</v>
      </c>
      <c r="G111" s="18">
        <v>333</v>
      </c>
      <c r="H111" s="18">
        <v>327.3</v>
      </c>
      <c r="I111" s="18">
        <v>180706508</v>
      </c>
      <c r="J111" s="18">
        <v>552121</v>
      </c>
    </row>
    <row r="112" spans="1:10" x14ac:dyDescent="0.3">
      <c r="A112" s="18" t="s">
        <v>142</v>
      </c>
      <c r="B112" s="18">
        <v>1836</v>
      </c>
      <c r="C112" s="18" t="s">
        <v>1064</v>
      </c>
      <c r="D112" s="18" t="s">
        <v>1065</v>
      </c>
      <c r="E112" s="18">
        <v>-1.29E-2</v>
      </c>
      <c r="F112" s="18">
        <v>1836</v>
      </c>
      <c r="G112" s="18">
        <v>1905</v>
      </c>
      <c r="H112" s="18">
        <v>1860.9</v>
      </c>
      <c r="I112" s="18">
        <v>89877655</v>
      </c>
      <c r="J112" s="18">
        <v>48298</v>
      </c>
    </row>
    <row r="113" spans="1:10" x14ac:dyDescent="0.3">
      <c r="A113" s="18" t="s">
        <v>143</v>
      </c>
      <c r="B113" s="18">
        <v>16.350000000000001</v>
      </c>
      <c r="C113" s="18" t="s">
        <v>782</v>
      </c>
      <c r="D113" s="18" t="s">
        <v>1066</v>
      </c>
      <c r="E113" s="18">
        <v>-3.0000000000000001E-3</v>
      </c>
      <c r="F113" s="18">
        <v>16.2</v>
      </c>
      <c r="G113" s="18">
        <v>16.71</v>
      </c>
      <c r="H113" s="18">
        <v>16.46</v>
      </c>
      <c r="I113" s="18">
        <v>127065522</v>
      </c>
      <c r="J113" s="18">
        <v>7719962</v>
      </c>
    </row>
    <row r="114" spans="1:10" x14ac:dyDescent="0.3">
      <c r="A114" s="18" t="s">
        <v>144</v>
      </c>
      <c r="B114" s="18">
        <v>4.97</v>
      </c>
      <c r="C114" s="18" t="s">
        <v>1067</v>
      </c>
      <c r="D114" s="18" t="s">
        <v>366</v>
      </c>
      <c r="E114" s="18">
        <v>8.0999999999999996E-3</v>
      </c>
      <c r="F114" s="18">
        <v>4.91</v>
      </c>
      <c r="G114" s="18">
        <v>5</v>
      </c>
      <c r="H114" s="18">
        <v>4.95</v>
      </c>
      <c r="I114" s="18">
        <v>405324994</v>
      </c>
      <c r="J114" s="18">
        <v>81890613</v>
      </c>
    </row>
    <row r="115" spans="1:10" x14ac:dyDescent="0.3">
      <c r="A115" s="18" t="s">
        <v>145</v>
      </c>
      <c r="B115" s="18">
        <v>7.04</v>
      </c>
      <c r="C115" s="18" t="s">
        <v>644</v>
      </c>
      <c r="D115" s="18" t="s">
        <v>1068</v>
      </c>
      <c r="E115" s="18">
        <v>-2.0899999999999998E-2</v>
      </c>
      <c r="F115" s="18">
        <v>7.01</v>
      </c>
      <c r="G115" s="18">
        <v>7.2</v>
      </c>
      <c r="H115" s="18">
        <v>7.08</v>
      </c>
      <c r="I115" s="18">
        <v>26622732</v>
      </c>
      <c r="J115" s="18">
        <v>3761551</v>
      </c>
    </row>
    <row r="116" spans="1:10" x14ac:dyDescent="0.3">
      <c r="A116" s="18" t="s">
        <v>146</v>
      </c>
      <c r="B116" s="18">
        <v>27.84</v>
      </c>
      <c r="C116" s="18" t="s">
        <v>1069</v>
      </c>
      <c r="D116" s="18" t="s">
        <v>1070</v>
      </c>
      <c r="E116" s="18">
        <v>-2.52E-2</v>
      </c>
      <c r="F116" s="18">
        <v>27.52</v>
      </c>
      <c r="G116" s="18">
        <v>28.74</v>
      </c>
      <c r="H116" s="18">
        <v>28</v>
      </c>
      <c r="I116" s="18">
        <v>304591347</v>
      </c>
      <c r="J116" s="18">
        <v>10879389</v>
      </c>
    </row>
    <row r="117" spans="1:10" x14ac:dyDescent="0.3">
      <c r="A117" s="18" t="s">
        <v>147</v>
      </c>
      <c r="B117" s="18">
        <v>16.82</v>
      </c>
      <c r="C117" s="18" t="s">
        <v>1071</v>
      </c>
      <c r="D117" s="18" t="s">
        <v>1072</v>
      </c>
      <c r="E117" s="18">
        <v>4.8599999999999997E-2</v>
      </c>
      <c r="F117" s="18">
        <v>16.05</v>
      </c>
      <c r="G117" s="18">
        <v>17.43</v>
      </c>
      <c r="H117" s="18">
        <v>16.829999999999998</v>
      </c>
      <c r="I117" s="18">
        <v>168317726</v>
      </c>
      <c r="J117" s="18">
        <v>10003923</v>
      </c>
    </row>
    <row r="118" spans="1:10" x14ac:dyDescent="0.3">
      <c r="A118" s="18" t="s">
        <v>148</v>
      </c>
      <c r="B118" s="18">
        <v>103.9</v>
      </c>
      <c r="C118" s="18" t="s">
        <v>1073</v>
      </c>
      <c r="D118" s="18" t="s">
        <v>1074</v>
      </c>
      <c r="E118" s="18">
        <v>1.9599999999999999E-2</v>
      </c>
      <c r="F118" s="18">
        <v>101.1</v>
      </c>
      <c r="G118" s="18">
        <v>105.4</v>
      </c>
      <c r="H118" s="18">
        <v>103.29</v>
      </c>
      <c r="I118" s="18">
        <v>7418665</v>
      </c>
      <c r="J118" s="18">
        <v>71826</v>
      </c>
    </row>
    <row r="119" spans="1:10" x14ac:dyDescent="0.3">
      <c r="A119" s="18" t="s">
        <v>149</v>
      </c>
      <c r="B119" s="18">
        <v>88.3</v>
      </c>
      <c r="C119" s="18" t="s">
        <v>1075</v>
      </c>
      <c r="D119" s="18" t="s">
        <v>737</v>
      </c>
      <c r="E119" s="18">
        <v>-2.6499999999999999E-2</v>
      </c>
      <c r="F119" s="18">
        <v>88.3</v>
      </c>
      <c r="G119" s="18">
        <v>91.35</v>
      </c>
      <c r="H119" s="18">
        <v>89.22</v>
      </c>
      <c r="I119" s="18">
        <v>36577398</v>
      </c>
      <c r="J119" s="18">
        <v>409980</v>
      </c>
    </row>
    <row r="120" spans="1:10" x14ac:dyDescent="0.3">
      <c r="A120" s="18" t="s">
        <v>150</v>
      </c>
      <c r="B120" s="18">
        <v>20.9</v>
      </c>
      <c r="C120" s="18" t="s">
        <v>672</v>
      </c>
      <c r="D120" s="18" t="s">
        <v>1076</v>
      </c>
      <c r="E120" s="18">
        <v>-4.7999999999999996E-3</v>
      </c>
      <c r="F120" s="18">
        <v>20.5</v>
      </c>
      <c r="G120" s="18">
        <v>21.2</v>
      </c>
      <c r="H120" s="18">
        <v>20.71</v>
      </c>
      <c r="I120" s="18">
        <v>4540235</v>
      </c>
      <c r="J120" s="18">
        <v>219283</v>
      </c>
    </row>
    <row r="121" spans="1:10" x14ac:dyDescent="0.3">
      <c r="A121" s="18" t="s">
        <v>151</v>
      </c>
      <c r="B121" s="18">
        <v>1.54</v>
      </c>
      <c r="C121" s="18" t="s">
        <v>1077</v>
      </c>
      <c r="D121" s="18" t="s">
        <v>738</v>
      </c>
      <c r="E121" s="18">
        <v>-2.53E-2</v>
      </c>
      <c r="F121" s="18">
        <v>1.53</v>
      </c>
      <c r="G121" s="18">
        <v>1.6</v>
      </c>
      <c r="H121" s="18">
        <v>1.56</v>
      </c>
      <c r="I121" s="18">
        <v>154977466</v>
      </c>
      <c r="J121" s="18">
        <v>99184556</v>
      </c>
    </row>
    <row r="122" spans="1:10" x14ac:dyDescent="0.3">
      <c r="A122" s="18" t="s">
        <v>152</v>
      </c>
      <c r="B122" s="18">
        <v>103</v>
      </c>
      <c r="C122" s="18" t="s">
        <v>1078</v>
      </c>
      <c r="D122" s="18" t="s">
        <v>1079</v>
      </c>
      <c r="E122" s="18">
        <v>8.0799999999999997E-2</v>
      </c>
      <c r="F122" s="18">
        <v>88.2</v>
      </c>
      <c r="G122" s="18">
        <v>104.8</v>
      </c>
      <c r="H122" s="18">
        <v>96.15</v>
      </c>
      <c r="I122" s="18">
        <v>9519974</v>
      </c>
      <c r="J122" s="18">
        <v>99010</v>
      </c>
    </row>
    <row r="123" spans="1:10" x14ac:dyDescent="0.3">
      <c r="A123" s="18" t="s">
        <v>153</v>
      </c>
      <c r="B123" s="18">
        <v>27.9</v>
      </c>
      <c r="C123" s="18" t="s">
        <v>1080</v>
      </c>
      <c r="D123" s="18" t="s">
        <v>1081</v>
      </c>
      <c r="E123" s="18">
        <v>-1.9E-2</v>
      </c>
      <c r="F123" s="18">
        <v>27.9</v>
      </c>
      <c r="G123" s="18">
        <v>28.84</v>
      </c>
      <c r="H123" s="18">
        <v>28.28</v>
      </c>
      <c r="I123" s="18">
        <v>27906348</v>
      </c>
      <c r="J123" s="18">
        <v>986949</v>
      </c>
    </row>
    <row r="124" spans="1:10" x14ac:dyDescent="0.3">
      <c r="A124" s="18" t="s">
        <v>154</v>
      </c>
      <c r="B124" s="18">
        <v>48.76</v>
      </c>
      <c r="C124" s="18" t="s">
        <v>1082</v>
      </c>
      <c r="D124" s="18" t="s">
        <v>1083</v>
      </c>
      <c r="E124" s="18">
        <v>-4.02E-2</v>
      </c>
      <c r="F124" s="18">
        <v>48.76</v>
      </c>
      <c r="G124" s="18">
        <v>50.75</v>
      </c>
      <c r="H124" s="18">
        <v>49.16</v>
      </c>
      <c r="I124" s="18">
        <v>348487096</v>
      </c>
      <c r="J124" s="18">
        <v>7088515</v>
      </c>
    </row>
    <row r="125" spans="1:10" x14ac:dyDescent="0.3">
      <c r="A125" s="18" t="s">
        <v>155</v>
      </c>
      <c r="B125" s="18">
        <v>19.559999999999999</v>
      </c>
      <c r="C125" s="18" t="s">
        <v>1084</v>
      </c>
      <c r="D125" s="18" t="s">
        <v>1085</v>
      </c>
      <c r="E125" s="18">
        <v>-2.3E-2</v>
      </c>
      <c r="F125" s="18">
        <v>19.5</v>
      </c>
      <c r="G125" s="18">
        <v>20.100000000000001</v>
      </c>
      <c r="H125" s="18">
        <v>19.739999999999998</v>
      </c>
      <c r="I125" s="18">
        <v>7252538</v>
      </c>
      <c r="J125" s="18">
        <v>367490</v>
      </c>
    </row>
    <row r="126" spans="1:10" x14ac:dyDescent="0.3">
      <c r="A126" s="18" t="s">
        <v>156</v>
      </c>
      <c r="B126" s="18">
        <v>8.18</v>
      </c>
      <c r="C126" s="18" t="s">
        <v>1086</v>
      </c>
      <c r="D126" s="18" t="s">
        <v>1087</v>
      </c>
      <c r="E126" s="18">
        <v>-4.8800000000000003E-2</v>
      </c>
      <c r="F126" s="18">
        <v>8.17</v>
      </c>
      <c r="G126" s="18">
        <v>8.18</v>
      </c>
      <c r="H126" s="18">
        <v>8.17</v>
      </c>
      <c r="I126" s="18">
        <v>30556525</v>
      </c>
      <c r="J126" s="18">
        <v>3739622</v>
      </c>
    </row>
    <row r="127" spans="1:10" x14ac:dyDescent="0.3">
      <c r="A127" s="18" t="s">
        <v>157</v>
      </c>
      <c r="B127" s="18">
        <v>11.62</v>
      </c>
      <c r="C127" s="18" t="s">
        <v>805</v>
      </c>
      <c r="D127" s="18" t="s">
        <v>746</v>
      </c>
      <c r="E127" s="18">
        <v>4.6800000000000001E-2</v>
      </c>
      <c r="F127" s="18">
        <v>11.05</v>
      </c>
      <c r="G127" s="18">
        <v>12.09</v>
      </c>
      <c r="H127" s="18">
        <v>11.73</v>
      </c>
      <c r="I127" s="18">
        <v>234015325</v>
      </c>
      <c r="J127" s="18">
        <v>19943636</v>
      </c>
    </row>
    <row r="128" spans="1:10" x14ac:dyDescent="0.3">
      <c r="A128" s="18" t="s">
        <v>158</v>
      </c>
      <c r="B128" s="18">
        <v>15.9</v>
      </c>
      <c r="C128" s="18" t="s">
        <v>1088</v>
      </c>
      <c r="D128" s="18" t="s">
        <v>1089</v>
      </c>
      <c r="E128" s="18">
        <v>-3.2300000000000002E-2</v>
      </c>
      <c r="F128" s="18">
        <v>15.9</v>
      </c>
      <c r="G128" s="18">
        <v>16.5</v>
      </c>
      <c r="H128" s="18">
        <v>16.170000000000002</v>
      </c>
      <c r="I128" s="18">
        <v>59850631</v>
      </c>
      <c r="J128" s="18">
        <v>3702530</v>
      </c>
    </row>
    <row r="129" spans="1:10" x14ac:dyDescent="0.3">
      <c r="A129" s="18" t="s">
        <v>159</v>
      </c>
      <c r="B129" s="18">
        <v>25.32</v>
      </c>
      <c r="C129" s="18" t="s">
        <v>1090</v>
      </c>
      <c r="D129" s="18" t="s">
        <v>1091</v>
      </c>
      <c r="E129" s="18">
        <v>-3.6499999999999998E-2</v>
      </c>
      <c r="F129" s="18">
        <v>25.28</v>
      </c>
      <c r="G129" s="18">
        <v>26.54</v>
      </c>
      <c r="H129" s="18">
        <v>25.78</v>
      </c>
      <c r="I129" s="18">
        <v>28201293</v>
      </c>
      <c r="J129" s="18">
        <v>1094066</v>
      </c>
    </row>
    <row r="130" spans="1:10" x14ac:dyDescent="0.3">
      <c r="A130" s="18" t="s">
        <v>160</v>
      </c>
      <c r="B130" s="18">
        <v>28</v>
      </c>
      <c r="C130" s="18" t="s">
        <v>739</v>
      </c>
      <c r="D130" s="18" t="s">
        <v>696</v>
      </c>
      <c r="E130" s="18">
        <v>-7.1000000000000004E-3</v>
      </c>
      <c r="F130" s="18">
        <v>27.6</v>
      </c>
      <c r="G130" s="18">
        <v>28.54</v>
      </c>
      <c r="H130" s="18">
        <v>28.05</v>
      </c>
      <c r="I130" s="18">
        <v>146587113</v>
      </c>
      <c r="J130" s="18">
        <v>5225563</v>
      </c>
    </row>
    <row r="131" spans="1:10" x14ac:dyDescent="0.3">
      <c r="A131" s="18" t="s">
        <v>161</v>
      </c>
      <c r="B131" s="18">
        <v>48.2</v>
      </c>
      <c r="C131" s="18" t="s">
        <v>1092</v>
      </c>
      <c r="D131" s="18" t="s">
        <v>1093</v>
      </c>
      <c r="E131" s="18">
        <v>1.47E-2</v>
      </c>
      <c r="F131" s="18">
        <v>46.94</v>
      </c>
      <c r="G131" s="18">
        <v>48.82</v>
      </c>
      <c r="H131" s="18">
        <v>48.07</v>
      </c>
      <c r="I131" s="18">
        <v>550361917</v>
      </c>
      <c r="J131" s="18">
        <v>11449488</v>
      </c>
    </row>
    <row r="132" spans="1:10" x14ac:dyDescent="0.3">
      <c r="A132" s="18" t="s">
        <v>162</v>
      </c>
      <c r="B132" s="18">
        <v>1793</v>
      </c>
      <c r="C132" s="18" t="s">
        <v>1094</v>
      </c>
      <c r="D132" s="18" t="s">
        <v>742</v>
      </c>
      <c r="E132" s="18">
        <v>-6.6E-3</v>
      </c>
      <c r="F132" s="18">
        <v>1776</v>
      </c>
      <c r="G132" s="18">
        <v>1827</v>
      </c>
      <c r="H132" s="18">
        <v>1799.3</v>
      </c>
      <c r="I132" s="18">
        <v>167966788</v>
      </c>
      <c r="J132" s="18">
        <v>93351</v>
      </c>
    </row>
    <row r="133" spans="1:10" x14ac:dyDescent="0.3">
      <c r="A133" s="18" t="s">
        <v>163</v>
      </c>
      <c r="B133" s="18">
        <v>2109</v>
      </c>
      <c r="C133" s="18" t="s">
        <v>1095</v>
      </c>
      <c r="D133" s="18" t="s">
        <v>1096</v>
      </c>
      <c r="E133" s="18">
        <v>-8.0000000000000002E-3</v>
      </c>
      <c r="F133" s="18">
        <v>2105</v>
      </c>
      <c r="G133" s="18">
        <v>2170</v>
      </c>
      <c r="H133" s="18">
        <v>2133.1</v>
      </c>
      <c r="I133" s="18">
        <v>37540350</v>
      </c>
      <c r="J133" s="18">
        <v>17599</v>
      </c>
    </row>
    <row r="134" spans="1:10" x14ac:dyDescent="0.3">
      <c r="A134" s="18" t="s">
        <v>164</v>
      </c>
      <c r="B134" s="18">
        <v>330</v>
      </c>
      <c r="C134" s="18" t="s">
        <v>1097</v>
      </c>
      <c r="D134" s="18" t="s">
        <v>1098</v>
      </c>
      <c r="E134" s="18">
        <v>-3.44E-2</v>
      </c>
      <c r="F134" s="18">
        <v>330</v>
      </c>
      <c r="G134" s="18">
        <v>367.5</v>
      </c>
      <c r="H134" s="18">
        <v>352.04</v>
      </c>
      <c r="I134" s="18">
        <v>3358420</v>
      </c>
      <c r="J134" s="18">
        <v>9540</v>
      </c>
    </row>
    <row r="135" spans="1:10" x14ac:dyDescent="0.3">
      <c r="A135" s="18" t="s">
        <v>165</v>
      </c>
      <c r="B135" s="18">
        <v>2.74</v>
      </c>
      <c r="C135" s="18" t="s">
        <v>670</v>
      </c>
      <c r="D135" s="18" t="s">
        <v>1099</v>
      </c>
      <c r="E135" s="18">
        <v>-2.1399999999999999E-2</v>
      </c>
      <c r="F135" s="18">
        <v>2.73</v>
      </c>
      <c r="G135" s="18">
        <v>2.81</v>
      </c>
      <c r="H135" s="18">
        <v>2.76</v>
      </c>
      <c r="I135" s="18">
        <v>16336279</v>
      </c>
      <c r="J135" s="18">
        <v>5925515</v>
      </c>
    </row>
    <row r="136" spans="1:10" x14ac:dyDescent="0.3">
      <c r="A136" s="18" t="s">
        <v>166</v>
      </c>
      <c r="B136" s="18">
        <v>102.1</v>
      </c>
      <c r="C136" s="18" t="s">
        <v>743</v>
      </c>
      <c r="D136" s="18" t="s">
        <v>1100</v>
      </c>
      <c r="E136" s="18">
        <v>1E-3</v>
      </c>
      <c r="F136" s="18">
        <v>100.8</v>
      </c>
      <c r="G136" s="18">
        <v>103</v>
      </c>
      <c r="H136" s="18">
        <v>101.41</v>
      </c>
      <c r="I136" s="18">
        <v>3023581</v>
      </c>
      <c r="J136" s="18">
        <v>29816</v>
      </c>
    </row>
    <row r="137" spans="1:10" x14ac:dyDescent="0.3">
      <c r="A137" s="18" t="s">
        <v>167</v>
      </c>
      <c r="B137" s="18">
        <v>10.99</v>
      </c>
      <c r="C137" s="18" t="s">
        <v>1101</v>
      </c>
      <c r="D137" s="18" t="s">
        <v>1102</v>
      </c>
      <c r="E137" s="18">
        <v>-5.0099999999999999E-2</v>
      </c>
      <c r="F137" s="18">
        <v>10.99</v>
      </c>
      <c r="G137" s="18">
        <v>11.7</v>
      </c>
      <c r="H137" s="18">
        <v>11.28</v>
      </c>
      <c r="I137" s="18">
        <v>14771235</v>
      </c>
      <c r="J137" s="18">
        <v>1309788</v>
      </c>
    </row>
    <row r="138" spans="1:10" x14ac:dyDescent="0.3">
      <c r="A138" s="18" t="s">
        <v>168</v>
      </c>
      <c r="B138" s="18">
        <v>74.849999999999994</v>
      </c>
      <c r="C138" s="18" t="s">
        <v>1103</v>
      </c>
      <c r="D138" s="18" t="s">
        <v>1104</v>
      </c>
      <c r="E138" s="18">
        <v>-2.2200000000000001E-2</v>
      </c>
      <c r="F138" s="18">
        <v>74.849999999999994</v>
      </c>
      <c r="G138" s="18">
        <v>76.55</v>
      </c>
      <c r="H138" s="18">
        <v>75.47</v>
      </c>
      <c r="I138" s="18">
        <v>11579081</v>
      </c>
      <c r="J138" s="18">
        <v>153422</v>
      </c>
    </row>
    <row r="139" spans="1:10" x14ac:dyDescent="0.3">
      <c r="A139" s="18" t="s">
        <v>169</v>
      </c>
      <c r="B139" s="18">
        <v>19.25</v>
      </c>
      <c r="C139" s="18" t="s">
        <v>873</v>
      </c>
      <c r="D139" s="18" t="s">
        <v>1105</v>
      </c>
      <c r="E139" s="18">
        <v>-2.1399999999999999E-2</v>
      </c>
      <c r="F139" s="18">
        <v>19</v>
      </c>
      <c r="G139" s="18">
        <v>19.7</v>
      </c>
      <c r="H139" s="18">
        <v>19.329999999999998</v>
      </c>
      <c r="I139" s="18">
        <v>5975576</v>
      </c>
      <c r="J139" s="18">
        <v>309091</v>
      </c>
    </row>
    <row r="140" spans="1:10" x14ac:dyDescent="0.3">
      <c r="A140" s="18" t="s">
        <v>170</v>
      </c>
      <c r="B140" s="18">
        <v>11.78</v>
      </c>
      <c r="C140" s="18" t="s">
        <v>1106</v>
      </c>
      <c r="D140" s="18" t="s">
        <v>1107</v>
      </c>
      <c r="E140" s="18">
        <v>1.9E-2</v>
      </c>
      <c r="F140" s="18">
        <v>11.52</v>
      </c>
      <c r="G140" s="18">
        <v>11.93</v>
      </c>
      <c r="H140" s="18">
        <v>11.72</v>
      </c>
      <c r="I140" s="18">
        <v>180373239</v>
      </c>
      <c r="J140" s="18">
        <v>15392570</v>
      </c>
    </row>
    <row r="141" spans="1:10" x14ac:dyDescent="0.3">
      <c r="A141" s="18" t="s">
        <v>171</v>
      </c>
      <c r="B141" s="18">
        <v>14.37</v>
      </c>
      <c r="C141" s="18" t="s">
        <v>1108</v>
      </c>
      <c r="D141" s="18" t="s">
        <v>1109</v>
      </c>
      <c r="E141" s="18">
        <v>-4.9599999999999998E-2</v>
      </c>
      <c r="F141" s="18">
        <v>14.37</v>
      </c>
      <c r="G141" s="18">
        <v>15.32</v>
      </c>
      <c r="H141" s="18">
        <v>14.65</v>
      </c>
      <c r="I141" s="18">
        <v>177012859</v>
      </c>
      <c r="J141" s="18">
        <v>12086548</v>
      </c>
    </row>
    <row r="142" spans="1:10" x14ac:dyDescent="0.3">
      <c r="A142" s="18" t="s">
        <v>172</v>
      </c>
      <c r="B142" s="18">
        <v>97.7</v>
      </c>
      <c r="C142" s="18" t="s">
        <v>821</v>
      </c>
      <c r="D142" s="18" t="s">
        <v>1110</v>
      </c>
      <c r="E142" s="18">
        <v>1.9800000000000002E-2</v>
      </c>
      <c r="F142" s="18">
        <v>93</v>
      </c>
      <c r="G142" s="18">
        <v>104.9</v>
      </c>
      <c r="H142" s="18">
        <v>98.98</v>
      </c>
      <c r="I142" s="18">
        <v>64738062</v>
      </c>
      <c r="J142" s="18">
        <v>654073</v>
      </c>
    </row>
    <row r="143" spans="1:10" x14ac:dyDescent="0.3">
      <c r="A143" s="18" t="s">
        <v>173</v>
      </c>
      <c r="B143" s="18">
        <v>4.45</v>
      </c>
      <c r="C143" s="18" t="s">
        <v>1111</v>
      </c>
      <c r="D143" s="18" t="s">
        <v>1112</v>
      </c>
      <c r="E143" s="18">
        <v>2.3E-3</v>
      </c>
      <c r="F143" s="18">
        <v>4.3499999999999996</v>
      </c>
      <c r="G143" s="18">
        <v>4.5</v>
      </c>
      <c r="H143" s="18">
        <v>4.43</v>
      </c>
      <c r="I143" s="18">
        <v>21059393</v>
      </c>
      <c r="J143" s="18">
        <v>4754980</v>
      </c>
    </row>
    <row r="144" spans="1:10" x14ac:dyDescent="0.3">
      <c r="A144" s="18" t="s">
        <v>174</v>
      </c>
      <c r="B144" s="18">
        <v>8.5</v>
      </c>
      <c r="C144" s="18" t="s">
        <v>1113</v>
      </c>
      <c r="D144" s="18" t="s">
        <v>1114</v>
      </c>
      <c r="E144" s="18">
        <v>-1.6199999999999999E-2</v>
      </c>
      <c r="F144" s="18">
        <v>8.5</v>
      </c>
      <c r="G144" s="18">
        <v>9.01</v>
      </c>
      <c r="H144" s="18">
        <v>8.74</v>
      </c>
      <c r="I144" s="18">
        <v>282936166</v>
      </c>
      <c r="J144" s="18">
        <v>32390785</v>
      </c>
    </row>
    <row r="145" spans="1:10" x14ac:dyDescent="0.3">
      <c r="A145" s="18" t="s">
        <v>175</v>
      </c>
      <c r="B145" s="18">
        <v>1.68</v>
      </c>
      <c r="C145" s="18" t="s">
        <v>748</v>
      </c>
      <c r="D145" s="18" t="s">
        <v>627</v>
      </c>
      <c r="E145" s="18">
        <v>-3.4500000000000003E-2</v>
      </c>
      <c r="F145" s="18">
        <v>1.67</v>
      </c>
      <c r="G145" s="18">
        <v>1.75</v>
      </c>
      <c r="H145" s="18">
        <v>1.7</v>
      </c>
      <c r="I145" s="18">
        <v>81982095</v>
      </c>
      <c r="J145" s="18">
        <v>48193844</v>
      </c>
    </row>
    <row r="146" spans="1:10" x14ac:dyDescent="0.3">
      <c r="A146" s="18" t="s">
        <v>176</v>
      </c>
      <c r="B146" s="18">
        <v>39.159999999999997</v>
      </c>
      <c r="C146" s="18" t="s">
        <v>1115</v>
      </c>
      <c r="D146" s="18" t="s">
        <v>1116</v>
      </c>
      <c r="E146" s="18">
        <v>-3.0200000000000001E-2</v>
      </c>
      <c r="F146" s="18">
        <v>38.56</v>
      </c>
      <c r="G146" s="18">
        <v>40.94</v>
      </c>
      <c r="H146" s="18">
        <v>39.6</v>
      </c>
      <c r="I146" s="18">
        <v>141142804</v>
      </c>
      <c r="J146" s="18">
        <v>3564026</v>
      </c>
    </row>
    <row r="147" spans="1:10" x14ac:dyDescent="0.3">
      <c r="A147" s="18" t="s">
        <v>177</v>
      </c>
      <c r="B147" s="18">
        <v>1.93</v>
      </c>
      <c r="C147" s="18" t="s">
        <v>749</v>
      </c>
      <c r="D147" s="18" t="s">
        <v>800</v>
      </c>
      <c r="E147" s="18">
        <v>-2.53E-2</v>
      </c>
      <c r="F147" s="18">
        <v>1.91</v>
      </c>
      <c r="G147" s="18">
        <v>2</v>
      </c>
      <c r="H147" s="18">
        <v>1.95</v>
      </c>
      <c r="I147" s="18">
        <v>49273073</v>
      </c>
      <c r="J147" s="18">
        <v>25276598</v>
      </c>
    </row>
    <row r="148" spans="1:10" x14ac:dyDescent="0.3">
      <c r="A148" s="18" t="s">
        <v>178</v>
      </c>
      <c r="B148" s="18">
        <v>53.1</v>
      </c>
      <c r="C148" s="18" t="s">
        <v>89</v>
      </c>
      <c r="D148" s="18" t="s">
        <v>750</v>
      </c>
      <c r="E148" s="18">
        <v>-9.9199999999999997E-2</v>
      </c>
      <c r="F148" s="18">
        <v>53.1</v>
      </c>
      <c r="G148" s="18">
        <v>62.4</v>
      </c>
      <c r="H148" s="18">
        <v>55.19</v>
      </c>
      <c r="I148" s="18">
        <v>3320679900</v>
      </c>
      <c r="J148" s="18">
        <v>60164981</v>
      </c>
    </row>
    <row r="149" spans="1:10" x14ac:dyDescent="0.3">
      <c r="A149" s="18" t="s">
        <v>179</v>
      </c>
      <c r="B149" s="18">
        <v>38.1</v>
      </c>
      <c r="C149" s="18" t="s">
        <v>1117</v>
      </c>
      <c r="D149" s="18" t="s">
        <v>681</v>
      </c>
      <c r="E149" s="18">
        <v>-8.3000000000000001E-3</v>
      </c>
      <c r="F149" s="18">
        <v>37.799999999999997</v>
      </c>
      <c r="G149" s="18">
        <v>38.92</v>
      </c>
      <c r="H149" s="18">
        <v>38.31</v>
      </c>
      <c r="I149" s="18">
        <v>18238658</v>
      </c>
      <c r="J149" s="18">
        <v>476050</v>
      </c>
    </row>
    <row r="150" spans="1:10" x14ac:dyDescent="0.3">
      <c r="A150" s="18" t="s">
        <v>180</v>
      </c>
      <c r="B150" s="18">
        <v>9.08</v>
      </c>
      <c r="C150" s="18" t="s">
        <v>941</v>
      </c>
      <c r="D150" s="18" t="s">
        <v>1118</v>
      </c>
      <c r="E150" s="18">
        <v>-9.7999999999999997E-3</v>
      </c>
      <c r="F150" s="18">
        <v>8.99</v>
      </c>
      <c r="G150" s="18">
        <v>9.48</v>
      </c>
      <c r="H150" s="18">
        <v>9.25</v>
      </c>
      <c r="I150" s="18">
        <v>20663995</v>
      </c>
      <c r="J150" s="18">
        <v>2234404</v>
      </c>
    </row>
    <row r="151" spans="1:10" x14ac:dyDescent="0.3">
      <c r="A151" s="18" t="s">
        <v>181</v>
      </c>
      <c r="B151" s="18">
        <v>50.05</v>
      </c>
      <c r="C151" s="18" t="s">
        <v>1119</v>
      </c>
      <c r="D151" s="18" t="s">
        <v>1120</v>
      </c>
      <c r="E151" s="18">
        <v>-2.2499999999999999E-2</v>
      </c>
      <c r="F151" s="18">
        <v>49.46</v>
      </c>
      <c r="G151" s="18">
        <v>52.65</v>
      </c>
      <c r="H151" s="18">
        <v>50.98</v>
      </c>
      <c r="I151" s="18">
        <v>21695618</v>
      </c>
      <c r="J151" s="18">
        <v>425556</v>
      </c>
    </row>
    <row r="152" spans="1:10" x14ac:dyDescent="0.3">
      <c r="A152" s="18" t="s">
        <v>182</v>
      </c>
      <c r="B152" s="18">
        <v>54.55</v>
      </c>
      <c r="C152" s="18" t="s">
        <v>1121</v>
      </c>
      <c r="D152" s="18" t="s">
        <v>1122</v>
      </c>
      <c r="E152" s="18">
        <v>8.9999999999999998E-4</v>
      </c>
      <c r="F152" s="18">
        <v>54.05</v>
      </c>
      <c r="G152" s="18">
        <v>55.3</v>
      </c>
      <c r="H152" s="18">
        <v>54.77</v>
      </c>
      <c r="I152" s="18">
        <v>14315646</v>
      </c>
      <c r="J152" s="18">
        <v>261394</v>
      </c>
    </row>
    <row r="153" spans="1:10" x14ac:dyDescent="0.3">
      <c r="A153" s="18" t="s">
        <v>183</v>
      </c>
      <c r="B153" s="18">
        <v>64</v>
      </c>
      <c r="C153" s="18" t="s">
        <v>1123</v>
      </c>
      <c r="D153" s="18" t="s">
        <v>1124</v>
      </c>
      <c r="E153" s="18">
        <v>-8.3099999999999993E-2</v>
      </c>
      <c r="F153" s="18">
        <v>64</v>
      </c>
      <c r="G153" s="18">
        <v>70.8</v>
      </c>
      <c r="H153" s="18">
        <v>68.02</v>
      </c>
      <c r="I153" s="18">
        <v>24633097</v>
      </c>
      <c r="J153" s="18">
        <v>362165</v>
      </c>
    </row>
    <row r="154" spans="1:10" x14ac:dyDescent="0.3">
      <c r="A154" s="18" t="s">
        <v>184</v>
      </c>
      <c r="B154" s="18">
        <v>31.7</v>
      </c>
      <c r="C154" s="18" t="s">
        <v>1125</v>
      </c>
      <c r="D154" s="18" t="s">
        <v>1126</v>
      </c>
      <c r="E154" s="18">
        <v>3.8E-3</v>
      </c>
      <c r="F154" s="18">
        <v>30.6</v>
      </c>
      <c r="G154" s="18">
        <v>32.94</v>
      </c>
      <c r="H154" s="18">
        <v>31.89</v>
      </c>
      <c r="I154" s="18">
        <v>2083710</v>
      </c>
      <c r="J154" s="18">
        <v>65340</v>
      </c>
    </row>
    <row r="155" spans="1:10" x14ac:dyDescent="0.3">
      <c r="A155" s="18" t="s">
        <v>185</v>
      </c>
      <c r="B155" s="18">
        <v>6.18</v>
      </c>
      <c r="C155" s="18" t="s">
        <v>695</v>
      </c>
      <c r="D155" s="18" t="s">
        <v>755</v>
      </c>
      <c r="E155" s="18">
        <v>-2.06E-2</v>
      </c>
      <c r="F155" s="18">
        <v>6.15</v>
      </c>
      <c r="G155" s="18">
        <v>6.37</v>
      </c>
      <c r="H155" s="18">
        <v>6.23</v>
      </c>
      <c r="I155" s="18">
        <v>4926780</v>
      </c>
      <c r="J155" s="18">
        <v>790830</v>
      </c>
    </row>
    <row r="156" spans="1:10" x14ac:dyDescent="0.3">
      <c r="A156" s="18" t="s">
        <v>186</v>
      </c>
      <c r="B156" s="18">
        <v>21.88</v>
      </c>
      <c r="C156" s="18" t="s">
        <v>1127</v>
      </c>
      <c r="D156" s="18" t="s">
        <v>1128</v>
      </c>
      <c r="E156" s="18">
        <v>1.3899999999999999E-2</v>
      </c>
      <c r="F156" s="18">
        <v>21.2</v>
      </c>
      <c r="G156" s="18">
        <v>21.88</v>
      </c>
      <c r="H156" s="18">
        <v>21.29</v>
      </c>
      <c r="I156" s="18">
        <v>1641805</v>
      </c>
      <c r="J156" s="18">
        <v>77130</v>
      </c>
    </row>
    <row r="157" spans="1:10" x14ac:dyDescent="0.3">
      <c r="A157" s="18" t="s">
        <v>187</v>
      </c>
      <c r="B157" s="18">
        <v>20.32</v>
      </c>
      <c r="C157" s="18" t="s">
        <v>758</v>
      </c>
      <c r="D157" s="18" t="s">
        <v>1129</v>
      </c>
      <c r="E157" s="18">
        <v>5.8299999999999998E-2</v>
      </c>
      <c r="F157" s="18">
        <v>18.89</v>
      </c>
      <c r="G157" s="18">
        <v>20.88</v>
      </c>
      <c r="H157" s="18">
        <v>19.75</v>
      </c>
      <c r="I157" s="18">
        <v>62343850</v>
      </c>
      <c r="J157" s="18">
        <v>3157149</v>
      </c>
    </row>
    <row r="158" spans="1:10" x14ac:dyDescent="0.3">
      <c r="A158" s="18" t="s">
        <v>188</v>
      </c>
      <c r="B158" s="18">
        <v>24.04</v>
      </c>
      <c r="C158" s="18" t="s">
        <v>1130</v>
      </c>
      <c r="D158" s="18" t="s">
        <v>648</v>
      </c>
      <c r="E158" s="18">
        <v>-1.6999999999999999E-3</v>
      </c>
      <c r="F158" s="18">
        <v>23.66</v>
      </c>
      <c r="G158" s="18">
        <v>24.36</v>
      </c>
      <c r="H158" s="18">
        <v>24</v>
      </c>
      <c r="I158" s="18">
        <v>40716403</v>
      </c>
      <c r="J158" s="18">
        <v>1696490</v>
      </c>
    </row>
    <row r="159" spans="1:10" x14ac:dyDescent="0.3">
      <c r="A159" s="18" t="s">
        <v>189</v>
      </c>
      <c r="B159" s="18">
        <v>7.23</v>
      </c>
      <c r="C159" s="18" t="s">
        <v>1131</v>
      </c>
      <c r="D159" s="18" t="s">
        <v>671</v>
      </c>
      <c r="E159" s="18">
        <v>2.5499999999999998E-2</v>
      </c>
      <c r="F159" s="18">
        <v>7.05</v>
      </c>
      <c r="G159" s="18">
        <v>7.29</v>
      </c>
      <c r="H159" s="18">
        <v>7.18</v>
      </c>
      <c r="I159" s="18">
        <v>17048708</v>
      </c>
      <c r="J159" s="18">
        <v>2373242</v>
      </c>
    </row>
    <row r="160" spans="1:10" x14ac:dyDescent="0.3">
      <c r="A160" s="18" t="s">
        <v>190</v>
      </c>
      <c r="B160" s="18">
        <v>18.850000000000001</v>
      </c>
      <c r="C160" s="18" t="s">
        <v>756</v>
      </c>
      <c r="D160" s="18" t="s">
        <v>1132</v>
      </c>
      <c r="E160" s="18">
        <v>2.7000000000000001E-3</v>
      </c>
      <c r="F160" s="18">
        <v>18.66</v>
      </c>
      <c r="G160" s="18">
        <v>19.079999999999998</v>
      </c>
      <c r="H160" s="18">
        <v>18.87</v>
      </c>
      <c r="I160" s="18">
        <v>14207018</v>
      </c>
      <c r="J160" s="18">
        <v>752970</v>
      </c>
    </row>
    <row r="161" spans="1:10" x14ac:dyDescent="0.3">
      <c r="A161" s="18" t="s">
        <v>191</v>
      </c>
      <c r="B161" s="18">
        <v>173.6</v>
      </c>
      <c r="C161" s="18" t="s">
        <v>1133</v>
      </c>
      <c r="D161" s="18" t="s">
        <v>1134</v>
      </c>
      <c r="E161" s="18">
        <v>-1.7500000000000002E-2</v>
      </c>
      <c r="F161" s="18">
        <v>172.4</v>
      </c>
      <c r="G161" s="18">
        <v>177.8</v>
      </c>
      <c r="H161" s="18">
        <v>174.47</v>
      </c>
      <c r="I161" s="18">
        <v>231632940</v>
      </c>
      <c r="J161" s="18">
        <v>1327631</v>
      </c>
    </row>
    <row r="162" spans="1:10" x14ac:dyDescent="0.3">
      <c r="A162" s="18" t="s">
        <v>192</v>
      </c>
      <c r="B162" s="18">
        <v>371.75</v>
      </c>
      <c r="C162" s="18" t="s">
        <v>757</v>
      </c>
      <c r="D162" s="18" t="s">
        <v>89</v>
      </c>
      <c r="E162" s="18">
        <v>9.9900000000000003E-2</v>
      </c>
      <c r="F162" s="18">
        <v>342</v>
      </c>
      <c r="G162" s="18">
        <v>371.75</v>
      </c>
      <c r="H162" s="18">
        <v>360.37</v>
      </c>
      <c r="I162" s="18">
        <v>138731982</v>
      </c>
      <c r="J162" s="18">
        <v>384970</v>
      </c>
    </row>
    <row r="163" spans="1:10" x14ac:dyDescent="0.3">
      <c r="A163" s="18" t="s">
        <v>193</v>
      </c>
      <c r="B163" s="18">
        <v>7680</v>
      </c>
      <c r="C163" s="18" t="s">
        <v>1135</v>
      </c>
      <c r="D163" s="18" t="s">
        <v>1136</v>
      </c>
      <c r="E163" s="18">
        <v>9.4999999999999998E-3</v>
      </c>
      <c r="F163" s="18">
        <v>7500</v>
      </c>
      <c r="G163" s="18">
        <v>7690</v>
      </c>
      <c r="H163" s="18">
        <v>7627.11</v>
      </c>
      <c r="I163" s="18">
        <v>46540595</v>
      </c>
      <c r="J163" s="18">
        <v>6102</v>
      </c>
    </row>
    <row r="164" spans="1:10" x14ac:dyDescent="0.3">
      <c r="A164" s="18" t="s">
        <v>194</v>
      </c>
      <c r="B164" s="18">
        <v>29</v>
      </c>
      <c r="C164" s="18" t="s">
        <v>1137</v>
      </c>
      <c r="D164" s="18" t="s">
        <v>1138</v>
      </c>
      <c r="E164" s="18">
        <v>-2.75E-2</v>
      </c>
      <c r="F164" s="18">
        <v>29</v>
      </c>
      <c r="G164" s="18">
        <v>30</v>
      </c>
      <c r="H164" s="18">
        <v>29.61</v>
      </c>
      <c r="I164" s="18">
        <v>20003988</v>
      </c>
      <c r="J164" s="18">
        <v>675527</v>
      </c>
    </row>
    <row r="165" spans="1:10" x14ac:dyDescent="0.3">
      <c r="A165" s="18" t="s">
        <v>195</v>
      </c>
      <c r="B165" s="18">
        <v>15.63</v>
      </c>
      <c r="C165" s="18" t="s">
        <v>1139</v>
      </c>
      <c r="D165" s="18" t="s">
        <v>1140</v>
      </c>
      <c r="E165" s="18">
        <v>-2.2499999999999999E-2</v>
      </c>
      <c r="F165" s="18">
        <v>15.21</v>
      </c>
      <c r="G165" s="18">
        <v>16.09</v>
      </c>
      <c r="H165" s="18">
        <v>15.7</v>
      </c>
      <c r="I165" s="18">
        <v>1916791</v>
      </c>
      <c r="J165" s="18">
        <v>122129</v>
      </c>
    </row>
    <row r="166" spans="1:10" x14ac:dyDescent="0.3">
      <c r="A166" s="18" t="s">
        <v>196</v>
      </c>
      <c r="B166" s="18">
        <v>14.66</v>
      </c>
      <c r="C166" s="18" t="s">
        <v>1141</v>
      </c>
      <c r="D166" s="18" t="s">
        <v>1142</v>
      </c>
      <c r="E166" s="18">
        <v>-2.7000000000000001E-3</v>
      </c>
      <c r="F166" s="18">
        <v>14.36</v>
      </c>
      <c r="G166" s="18">
        <v>14.66</v>
      </c>
      <c r="H166" s="18">
        <v>14.52</v>
      </c>
      <c r="I166" s="18">
        <v>227429404</v>
      </c>
      <c r="J166" s="18">
        <v>15668304</v>
      </c>
    </row>
    <row r="167" spans="1:10" x14ac:dyDescent="0.3">
      <c r="A167" s="18" t="s">
        <v>197</v>
      </c>
      <c r="B167" s="18">
        <v>20.28</v>
      </c>
      <c r="C167" s="18" t="s">
        <v>1143</v>
      </c>
      <c r="D167" s="18" t="s">
        <v>1144</v>
      </c>
      <c r="E167" s="18">
        <v>-5.8999999999999999E-3</v>
      </c>
      <c r="F167" s="18">
        <v>20.18</v>
      </c>
      <c r="G167" s="18">
        <v>20.78</v>
      </c>
      <c r="H167" s="18">
        <v>20.39</v>
      </c>
      <c r="I167" s="18">
        <v>9076699</v>
      </c>
      <c r="J167" s="18">
        <v>445193</v>
      </c>
    </row>
    <row r="168" spans="1:10" x14ac:dyDescent="0.3">
      <c r="A168" s="18" t="s">
        <v>198</v>
      </c>
      <c r="B168" s="18">
        <v>294.5</v>
      </c>
      <c r="C168" s="18" t="s">
        <v>1145</v>
      </c>
      <c r="D168" s="18" t="s">
        <v>1146</v>
      </c>
      <c r="E168" s="18">
        <v>4.53E-2</v>
      </c>
      <c r="F168" s="18">
        <v>272.75</v>
      </c>
      <c r="G168" s="18">
        <v>294.5</v>
      </c>
      <c r="H168" s="18">
        <v>290.51</v>
      </c>
      <c r="I168" s="18">
        <v>1180600951</v>
      </c>
      <c r="J168" s="18">
        <v>4063879</v>
      </c>
    </row>
    <row r="169" spans="1:10" x14ac:dyDescent="0.3">
      <c r="A169" s="18" t="s">
        <v>199</v>
      </c>
      <c r="B169" s="18">
        <v>3.08</v>
      </c>
      <c r="C169" s="18" t="s">
        <v>633</v>
      </c>
      <c r="D169" s="18" t="s">
        <v>1147</v>
      </c>
      <c r="E169" s="18">
        <v>-8.3299999999999999E-2</v>
      </c>
      <c r="F169" s="18">
        <v>3.08</v>
      </c>
      <c r="G169" s="18">
        <v>3.53</v>
      </c>
      <c r="H169" s="18">
        <v>3.25</v>
      </c>
      <c r="I169" s="18">
        <v>46376775</v>
      </c>
      <c r="J169" s="18">
        <v>14290586</v>
      </c>
    </row>
    <row r="170" spans="1:10" x14ac:dyDescent="0.3">
      <c r="A170" s="18" t="s">
        <v>200</v>
      </c>
      <c r="B170" s="18">
        <v>14.83</v>
      </c>
      <c r="C170" s="18" t="s">
        <v>1148</v>
      </c>
      <c r="D170" s="18" t="s">
        <v>1149</v>
      </c>
      <c r="E170" s="18">
        <v>-4.3200000000000002E-2</v>
      </c>
      <c r="F170" s="18">
        <v>14.83</v>
      </c>
      <c r="G170" s="18">
        <v>15.75</v>
      </c>
      <c r="H170" s="18">
        <v>15.24</v>
      </c>
      <c r="I170" s="18">
        <v>55406195</v>
      </c>
      <c r="J170" s="18">
        <v>3636001</v>
      </c>
    </row>
    <row r="171" spans="1:10" x14ac:dyDescent="0.3">
      <c r="A171" s="18" t="s">
        <v>201</v>
      </c>
      <c r="B171" s="18">
        <v>12.85</v>
      </c>
      <c r="C171" s="18" t="s">
        <v>856</v>
      </c>
      <c r="D171" s="18" t="s">
        <v>857</v>
      </c>
      <c r="E171" s="18">
        <v>-1.46E-2</v>
      </c>
      <c r="F171" s="18">
        <v>12.84</v>
      </c>
      <c r="G171" s="18">
        <v>13.13</v>
      </c>
      <c r="H171" s="18">
        <v>12.92</v>
      </c>
      <c r="I171" s="18">
        <v>33269437</v>
      </c>
      <c r="J171" s="18">
        <v>2574631</v>
      </c>
    </row>
    <row r="172" spans="1:10" x14ac:dyDescent="0.3">
      <c r="A172" s="18" t="s">
        <v>202</v>
      </c>
      <c r="B172" s="18">
        <v>5.61</v>
      </c>
      <c r="C172" s="18" t="s">
        <v>678</v>
      </c>
      <c r="D172" s="18" t="s">
        <v>1150</v>
      </c>
      <c r="E172" s="18">
        <v>-1.23E-2</v>
      </c>
      <c r="F172" s="18">
        <v>5.54</v>
      </c>
      <c r="G172" s="18">
        <v>5.7</v>
      </c>
      <c r="H172" s="18">
        <v>5.6</v>
      </c>
      <c r="I172" s="18">
        <v>15166457</v>
      </c>
      <c r="J172" s="18">
        <v>2710804</v>
      </c>
    </row>
    <row r="173" spans="1:10" x14ac:dyDescent="0.3">
      <c r="A173" s="18" t="s">
        <v>203</v>
      </c>
      <c r="B173" s="18">
        <v>41.34</v>
      </c>
      <c r="C173" s="18" t="s">
        <v>874</v>
      </c>
      <c r="D173" s="18" t="s">
        <v>1151</v>
      </c>
      <c r="E173" s="18">
        <v>-1.38E-2</v>
      </c>
      <c r="F173" s="18">
        <v>41.3</v>
      </c>
      <c r="G173" s="18">
        <v>41.98</v>
      </c>
      <c r="H173" s="18">
        <v>41.52</v>
      </c>
      <c r="I173" s="18">
        <v>28069407</v>
      </c>
      <c r="J173" s="18">
        <v>676130</v>
      </c>
    </row>
    <row r="174" spans="1:10" x14ac:dyDescent="0.3">
      <c r="A174" s="18" t="s">
        <v>204</v>
      </c>
      <c r="B174" s="18">
        <v>46.1</v>
      </c>
      <c r="C174" s="18" t="s">
        <v>1152</v>
      </c>
      <c r="D174" s="18" t="s">
        <v>1153</v>
      </c>
      <c r="E174" s="18">
        <v>3.04E-2</v>
      </c>
      <c r="F174" s="18">
        <v>44.24</v>
      </c>
      <c r="G174" s="18">
        <v>46.1</v>
      </c>
      <c r="H174" s="18">
        <v>45.28</v>
      </c>
      <c r="I174" s="18">
        <v>129080610</v>
      </c>
      <c r="J174" s="18">
        <v>2850616</v>
      </c>
    </row>
    <row r="175" spans="1:10" x14ac:dyDescent="0.3">
      <c r="A175" s="18" t="s">
        <v>205</v>
      </c>
      <c r="B175" s="18">
        <v>177</v>
      </c>
      <c r="C175" s="18" t="s">
        <v>1154</v>
      </c>
      <c r="D175" s="18" t="s">
        <v>762</v>
      </c>
      <c r="E175" s="18">
        <v>-5.9999999999999995E-4</v>
      </c>
      <c r="F175" s="18">
        <v>176.4</v>
      </c>
      <c r="G175" s="18">
        <v>177.9</v>
      </c>
      <c r="H175" s="18">
        <v>177.08</v>
      </c>
      <c r="I175" s="18">
        <v>15714569</v>
      </c>
      <c r="J175" s="18">
        <v>88741</v>
      </c>
    </row>
    <row r="176" spans="1:10" x14ac:dyDescent="0.3">
      <c r="A176" s="18" t="s">
        <v>206</v>
      </c>
      <c r="B176" s="18">
        <v>4.1900000000000004</v>
      </c>
      <c r="C176" s="18" t="s">
        <v>1155</v>
      </c>
      <c r="D176" s="18" t="s">
        <v>1156</v>
      </c>
      <c r="E176" s="18">
        <v>1.4500000000000001E-2</v>
      </c>
      <c r="F176" s="18">
        <v>4.0999999999999996</v>
      </c>
      <c r="G176" s="18">
        <v>4.3</v>
      </c>
      <c r="H176" s="18">
        <v>4.1900000000000004</v>
      </c>
      <c r="I176" s="18">
        <v>24776462</v>
      </c>
      <c r="J176" s="18">
        <v>5910925</v>
      </c>
    </row>
    <row r="177" spans="1:10" x14ac:dyDescent="0.3">
      <c r="A177" s="18" t="s">
        <v>207</v>
      </c>
      <c r="B177" s="18">
        <v>28.16</v>
      </c>
      <c r="C177" s="18" t="s">
        <v>1157</v>
      </c>
      <c r="D177" s="18" t="s">
        <v>1158</v>
      </c>
      <c r="E177" s="18">
        <v>9.2999999999999992E-3</v>
      </c>
      <c r="F177" s="18">
        <v>27.22</v>
      </c>
      <c r="G177" s="18">
        <v>29.76</v>
      </c>
      <c r="H177" s="18">
        <v>28.4</v>
      </c>
      <c r="I177" s="18">
        <v>57923640</v>
      </c>
      <c r="J177" s="18">
        <v>2039637</v>
      </c>
    </row>
    <row r="178" spans="1:10" x14ac:dyDescent="0.3">
      <c r="A178" s="18" t="s">
        <v>208</v>
      </c>
      <c r="B178" s="18">
        <v>102.8</v>
      </c>
      <c r="C178" s="18" t="s">
        <v>1159</v>
      </c>
      <c r="D178" s="18" t="s">
        <v>1160</v>
      </c>
      <c r="E178" s="18">
        <v>1.9E-3</v>
      </c>
      <c r="F178" s="18">
        <v>101.1</v>
      </c>
      <c r="G178" s="18">
        <v>103.3</v>
      </c>
      <c r="H178" s="18">
        <v>102.2</v>
      </c>
      <c r="I178" s="18">
        <v>78132582</v>
      </c>
      <c r="J178" s="18">
        <v>764541</v>
      </c>
    </row>
    <row r="179" spans="1:10" x14ac:dyDescent="0.3">
      <c r="A179" s="18" t="s">
        <v>209</v>
      </c>
      <c r="B179" s="18">
        <v>8305</v>
      </c>
      <c r="C179" s="18" t="s">
        <v>1161</v>
      </c>
      <c r="D179" s="18" t="s">
        <v>1162</v>
      </c>
      <c r="E179" s="18">
        <v>3.4200000000000001E-2</v>
      </c>
      <c r="F179" s="18">
        <v>7965</v>
      </c>
      <c r="G179" s="18">
        <v>8350</v>
      </c>
      <c r="H179" s="18">
        <v>8175.7</v>
      </c>
      <c r="I179" s="18">
        <v>168869043</v>
      </c>
      <c r="J179" s="18">
        <v>20655</v>
      </c>
    </row>
    <row r="180" spans="1:10" x14ac:dyDescent="0.3">
      <c r="A180" s="18" t="s">
        <v>210</v>
      </c>
      <c r="B180" s="18">
        <v>19</v>
      </c>
      <c r="C180" s="18" t="s">
        <v>763</v>
      </c>
      <c r="D180" s="18" t="s">
        <v>1163</v>
      </c>
      <c r="E180" s="18">
        <v>1.17E-2</v>
      </c>
      <c r="F180" s="18">
        <v>18.54</v>
      </c>
      <c r="G180" s="18">
        <v>19.3</v>
      </c>
      <c r="H180" s="18">
        <v>19.03</v>
      </c>
      <c r="I180" s="18">
        <v>46046278</v>
      </c>
      <c r="J180" s="18">
        <v>2420076</v>
      </c>
    </row>
    <row r="181" spans="1:10" x14ac:dyDescent="0.3">
      <c r="A181" s="18" t="s">
        <v>211</v>
      </c>
      <c r="B181" s="18">
        <v>6.48</v>
      </c>
      <c r="C181" s="18" t="s">
        <v>731</v>
      </c>
      <c r="D181" s="18" t="s">
        <v>837</v>
      </c>
      <c r="E181" s="18">
        <v>-3.0999999999999999E-3</v>
      </c>
      <c r="F181" s="18">
        <v>6.35</v>
      </c>
      <c r="G181" s="18">
        <v>6.58</v>
      </c>
      <c r="H181" s="18">
        <v>6.45</v>
      </c>
      <c r="I181" s="18">
        <v>20202468</v>
      </c>
      <c r="J181" s="18">
        <v>3130798</v>
      </c>
    </row>
    <row r="182" spans="1:10" x14ac:dyDescent="0.3">
      <c r="A182" s="18" t="s">
        <v>212</v>
      </c>
      <c r="B182" s="18">
        <v>82.1</v>
      </c>
      <c r="C182" s="18" t="s">
        <v>1164</v>
      </c>
      <c r="D182" s="18" t="s">
        <v>1165</v>
      </c>
      <c r="E182" s="18">
        <v>-2.3999999999999998E-3</v>
      </c>
      <c r="F182" s="18">
        <v>80.5</v>
      </c>
      <c r="G182" s="18">
        <v>86.45</v>
      </c>
      <c r="H182" s="18">
        <v>84.03</v>
      </c>
      <c r="I182" s="18">
        <v>192877063</v>
      </c>
      <c r="J182" s="18">
        <v>2295319</v>
      </c>
    </row>
    <row r="183" spans="1:10" x14ac:dyDescent="0.3">
      <c r="A183" s="18" t="s">
        <v>213</v>
      </c>
      <c r="B183" s="18">
        <v>20.079999999999998</v>
      </c>
      <c r="C183" s="18" t="s">
        <v>1166</v>
      </c>
      <c r="D183" s="18" t="s">
        <v>1167</v>
      </c>
      <c r="E183" s="18">
        <v>-1.0800000000000001E-2</v>
      </c>
      <c r="F183" s="18">
        <v>19.989999999999998</v>
      </c>
      <c r="G183" s="18">
        <v>20.38</v>
      </c>
      <c r="H183" s="18">
        <v>20.079999999999998</v>
      </c>
      <c r="I183" s="18">
        <v>17924878</v>
      </c>
      <c r="J183" s="18">
        <v>892802</v>
      </c>
    </row>
    <row r="184" spans="1:10" x14ac:dyDescent="0.3">
      <c r="A184" s="18" t="s">
        <v>214</v>
      </c>
      <c r="B184" s="18">
        <v>3.03</v>
      </c>
      <c r="C184" s="18" t="s">
        <v>290</v>
      </c>
      <c r="D184" s="18" t="s">
        <v>1168</v>
      </c>
      <c r="E184" s="18">
        <v>-2.5700000000000001E-2</v>
      </c>
      <c r="F184" s="18">
        <v>3.01</v>
      </c>
      <c r="G184" s="18">
        <v>3.13</v>
      </c>
      <c r="H184" s="18">
        <v>3.07</v>
      </c>
      <c r="I184" s="18">
        <v>7836022</v>
      </c>
      <c r="J184" s="18">
        <v>2553580</v>
      </c>
    </row>
    <row r="185" spans="1:10" x14ac:dyDescent="0.3">
      <c r="A185" s="18" t="s">
        <v>215</v>
      </c>
      <c r="B185" s="18">
        <v>13.98</v>
      </c>
      <c r="C185" s="18" t="s">
        <v>1169</v>
      </c>
      <c r="D185" s="18" t="s">
        <v>826</v>
      </c>
      <c r="E185" s="18">
        <v>-5.0000000000000001E-3</v>
      </c>
      <c r="F185" s="18">
        <v>13.82</v>
      </c>
      <c r="G185" s="18">
        <v>14.36</v>
      </c>
      <c r="H185" s="18">
        <v>14.06</v>
      </c>
      <c r="I185" s="18">
        <v>4248510772</v>
      </c>
      <c r="J185" s="18">
        <v>302194247</v>
      </c>
    </row>
    <row r="186" spans="1:10" x14ac:dyDescent="0.3">
      <c r="A186" s="18" t="s">
        <v>216</v>
      </c>
      <c r="B186" s="18">
        <v>52.7</v>
      </c>
      <c r="C186" s="18" t="s">
        <v>1170</v>
      </c>
      <c r="D186" s="18" t="s">
        <v>1171</v>
      </c>
      <c r="E186" s="18">
        <v>-9.4000000000000004E-3</v>
      </c>
      <c r="F186" s="18">
        <v>52.7</v>
      </c>
      <c r="G186" s="18">
        <v>54.05</v>
      </c>
      <c r="H186" s="18">
        <v>53.07</v>
      </c>
      <c r="I186" s="18">
        <v>522565</v>
      </c>
      <c r="J186" s="18">
        <v>9847</v>
      </c>
    </row>
    <row r="187" spans="1:10" x14ac:dyDescent="0.3">
      <c r="A187" s="18" t="s">
        <v>217</v>
      </c>
      <c r="B187" s="18">
        <v>20.56</v>
      </c>
      <c r="C187" s="18" t="s">
        <v>672</v>
      </c>
      <c r="D187" s="18" t="s">
        <v>1172</v>
      </c>
      <c r="E187" s="18">
        <v>-5.2499999999999998E-2</v>
      </c>
      <c r="F187" s="18">
        <v>20.100000000000001</v>
      </c>
      <c r="G187" s="18">
        <v>21.54</v>
      </c>
      <c r="H187" s="18">
        <v>20.88</v>
      </c>
      <c r="I187" s="18">
        <v>83941234</v>
      </c>
      <c r="J187" s="18">
        <v>4020800</v>
      </c>
    </row>
    <row r="188" spans="1:10" x14ac:dyDescent="0.3">
      <c r="A188" s="18" t="s">
        <v>218</v>
      </c>
      <c r="B188" s="18">
        <v>5.12</v>
      </c>
      <c r="C188" s="18" t="s">
        <v>1173</v>
      </c>
      <c r="D188" s="18" t="s">
        <v>653</v>
      </c>
      <c r="E188" s="18">
        <v>-1.54E-2</v>
      </c>
      <c r="F188" s="18">
        <v>5.0999999999999996</v>
      </c>
      <c r="G188" s="18">
        <v>5.23</v>
      </c>
      <c r="H188" s="18">
        <v>5.15</v>
      </c>
      <c r="I188" s="18">
        <v>10397767</v>
      </c>
      <c r="J188" s="18">
        <v>2019525</v>
      </c>
    </row>
    <row r="189" spans="1:10" x14ac:dyDescent="0.3">
      <c r="A189" s="18" t="s">
        <v>220</v>
      </c>
      <c r="B189" s="18">
        <v>35.840000000000003</v>
      </c>
      <c r="C189" s="18" t="s">
        <v>1174</v>
      </c>
      <c r="D189" s="18" t="s">
        <v>1175</v>
      </c>
      <c r="E189" s="18">
        <v>-4.1200000000000001E-2</v>
      </c>
      <c r="F189" s="18">
        <v>35.840000000000003</v>
      </c>
      <c r="G189" s="18">
        <v>37.54</v>
      </c>
      <c r="H189" s="18">
        <v>36.5</v>
      </c>
      <c r="I189" s="18">
        <v>50894382</v>
      </c>
      <c r="J189" s="18">
        <v>1394478</v>
      </c>
    </row>
    <row r="190" spans="1:10" x14ac:dyDescent="0.3">
      <c r="A190" s="18" t="s">
        <v>221</v>
      </c>
      <c r="B190" s="18">
        <v>34.54</v>
      </c>
      <c r="C190" s="18" t="s">
        <v>711</v>
      </c>
      <c r="D190" s="18" t="s">
        <v>1027</v>
      </c>
      <c r="E190" s="18">
        <v>-1.8800000000000001E-2</v>
      </c>
      <c r="F190" s="18">
        <v>33.56</v>
      </c>
      <c r="G190" s="18">
        <v>35.82</v>
      </c>
      <c r="H190" s="18">
        <v>34.81</v>
      </c>
      <c r="I190" s="18">
        <v>429456280</v>
      </c>
      <c r="J190" s="18">
        <v>12337430</v>
      </c>
    </row>
    <row r="191" spans="1:10" x14ac:dyDescent="0.3">
      <c r="A191" s="18" t="s">
        <v>222</v>
      </c>
      <c r="B191" s="18">
        <v>321.5</v>
      </c>
      <c r="C191" s="18" t="s">
        <v>1176</v>
      </c>
      <c r="D191" s="18" t="s">
        <v>1177</v>
      </c>
      <c r="E191" s="18">
        <v>-4.7399999999999998E-2</v>
      </c>
      <c r="F191" s="18">
        <v>321.5</v>
      </c>
      <c r="G191" s="18">
        <v>324.25</v>
      </c>
      <c r="H191" s="18">
        <v>323.27</v>
      </c>
      <c r="I191" s="18">
        <v>1189299</v>
      </c>
      <c r="J191" s="18">
        <v>3679</v>
      </c>
    </row>
    <row r="192" spans="1:10" x14ac:dyDescent="0.3">
      <c r="A192" s="18" t="s">
        <v>223</v>
      </c>
      <c r="B192" s="18">
        <v>17.5</v>
      </c>
      <c r="C192" s="18" t="s">
        <v>1178</v>
      </c>
      <c r="D192" s="18" t="s">
        <v>1179</v>
      </c>
      <c r="E192" s="18">
        <v>5.1999999999999998E-3</v>
      </c>
      <c r="F192" s="18">
        <v>17.059999999999999</v>
      </c>
      <c r="G192" s="18">
        <v>17.86</v>
      </c>
      <c r="H192" s="18">
        <v>17.46</v>
      </c>
      <c r="I192" s="18">
        <v>62807044</v>
      </c>
      <c r="J192" s="18">
        <v>3598172</v>
      </c>
    </row>
    <row r="193" spans="1:10" x14ac:dyDescent="0.3">
      <c r="A193" s="18" t="s">
        <v>224</v>
      </c>
      <c r="B193" s="18">
        <v>4.88</v>
      </c>
      <c r="C193" s="18" t="s">
        <v>808</v>
      </c>
      <c r="D193" s="18" t="s">
        <v>664</v>
      </c>
      <c r="E193" s="18">
        <v>-8.0999999999999996E-3</v>
      </c>
      <c r="F193" s="18">
        <v>4.83</v>
      </c>
      <c r="G193" s="18">
        <v>4.97</v>
      </c>
      <c r="H193" s="18">
        <v>4.8899999999999997</v>
      </c>
      <c r="I193" s="18">
        <v>254427400</v>
      </c>
      <c r="J193" s="18">
        <v>52038609</v>
      </c>
    </row>
    <row r="194" spans="1:10" x14ac:dyDescent="0.3">
      <c r="A194" s="18" t="s">
        <v>225</v>
      </c>
      <c r="B194" s="18">
        <v>53.35</v>
      </c>
      <c r="C194" s="18" t="s">
        <v>1180</v>
      </c>
      <c r="D194" s="18" t="s">
        <v>1181</v>
      </c>
      <c r="E194" s="18">
        <v>9.4999999999999998E-3</v>
      </c>
      <c r="F194" s="18">
        <v>51.45</v>
      </c>
      <c r="G194" s="18">
        <v>53.35</v>
      </c>
      <c r="H194" s="18">
        <v>52.07</v>
      </c>
      <c r="I194" s="18">
        <v>179518417</v>
      </c>
      <c r="J194" s="18">
        <v>3447399</v>
      </c>
    </row>
    <row r="195" spans="1:10" x14ac:dyDescent="0.3">
      <c r="A195" s="18" t="s">
        <v>226</v>
      </c>
      <c r="B195" s="18">
        <v>60.3</v>
      </c>
      <c r="C195" s="18" t="s">
        <v>1182</v>
      </c>
      <c r="D195" s="18" t="s">
        <v>1183</v>
      </c>
      <c r="E195" s="18">
        <v>-1.15E-2</v>
      </c>
      <c r="F195" s="18">
        <v>60.3</v>
      </c>
      <c r="G195" s="18">
        <v>62.1</v>
      </c>
      <c r="H195" s="18">
        <v>61.1</v>
      </c>
      <c r="I195" s="18">
        <v>873946652</v>
      </c>
      <c r="J195" s="18">
        <v>14304126</v>
      </c>
    </row>
    <row r="196" spans="1:10" x14ac:dyDescent="0.3">
      <c r="A196" s="18" t="s">
        <v>227</v>
      </c>
      <c r="B196" s="18">
        <v>18.420000000000002</v>
      </c>
      <c r="C196" s="18" t="s">
        <v>1184</v>
      </c>
      <c r="D196" s="18" t="s">
        <v>1185</v>
      </c>
      <c r="E196" s="18">
        <v>-1.9699999999999999E-2</v>
      </c>
      <c r="F196" s="18">
        <v>18.399999999999999</v>
      </c>
      <c r="G196" s="18">
        <v>18.95</v>
      </c>
      <c r="H196" s="18">
        <v>18.670000000000002</v>
      </c>
      <c r="I196" s="18">
        <v>9853556</v>
      </c>
      <c r="J196" s="18">
        <v>527704</v>
      </c>
    </row>
    <row r="197" spans="1:10" x14ac:dyDescent="0.3">
      <c r="A197" s="18" t="s">
        <v>228</v>
      </c>
      <c r="B197" s="18">
        <v>8.6999999999999993</v>
      </c>
      <c r="C197" s="18" t="s">
        <v>669</v>
      </c>
      <c r="D197" s="18" t="s">
        <v>1186</v>
      </c>
      <c r="E197" s="18">
        <v>-3.6499999999999998E-2</v>
      </c>
      <c r="F197" s="18">
        <v>8.6999999999999993</v>
      </c>
      <c r="G197" s="18">
        <v>9.16</v>
      </c>
      <c r="H197" s="18">
        <v>8.9700000000000006</v>
      </c>
      <c r="I197" s="18">
        <v>99228771</v>
      </c>
      <c r="J197" s="18">
        <v>11060257</v>
      </c>
    </row>
    <row r="198" spans="1:10" x14ac:dyDescent="0.3">
      <c r="A198" s="18" t="s">
        <v>229</v>
      </c>
      <c r="B198" s="18">
        <v>4.95</v>
      </c>
      <c r="C198" s="18" t="s">
        <v>663</v>
      </c>
      <c r="D198" s="18" t="s">
        <v>366</v>
      </c>
      <c r="E198" s="18">
        <v>-6.7799999999999999E-2</v>
      </c>
      <c r="F198" s="18">
        <v>4.93</v>
      </c>
      <c r="G198" s="18">
        <v>5.32</v>
      </c>
      <c r="H198" s="18">
        <v>5.0999999999999996</v>
      </c>
      <c r="I198" s="18">
        <v>54392793</v>
      </c>
      <c r="J198" s="18">
        <v>10657208</v>
      </c>
    </row>
    <row r="199" spans="1:10" x14ac:dyDescent="0.3">
      <c r="A199" s="18" t="s">
        <v>230</v>
      </c>
      <c r="B199" s="18">
        <v>143.69999999999999</v>
      </c>
      <c r="C199" s="18" t="s">
        <v>1187</v>
      </c>
      <c r="D199" s="18" t="s">
        <v>1188</v>
      </c>
      <c r="E199" s="18">
        <v>-1.24E-2</v>
      </c>
      <c r="F199" s="18">
        <v>142</v>
      </c>
      <c r="G199" s="18">
        <v>146.1</v>
      </c>
      <c r="H199" s="18">
        <v>144.02000000000001</v>
      </c>
      <c r="I199" s="18">
        <v>5622492</v>
      </c>
      <c r="J199" s="18">
        <v>39041</v>
      </c>
    </row>
    <row r="200" spans="1:10" x14ac:dyDescent="0.3">
      <c r="A200" s="18" t="s">
        <v>231</v>
      </c>
      <c r="B200" s="18">
        <v>70.75</v>
      </c>
      <c r="C200" s="18" t="s">
        <v>888</v>
      </c>
      <c r="D200" s="18" t="s">
        <v>1189</v>
      </c>
      <c r="E200" s="18">
        <v>-3.4799999999999998E-2</v>
      </c>
      <c r="F200" s="18">
        <v>70.75</v>
      </c>
      <c r="G200" s="18">
        <v>73.2</v>
      </c>
      <c r="H200" s="18">
        <v>71.989999999999995</v>
      </c>
      <c r="I200" s="18">
        <v>15580533</v>
      </c>
      <c r="J200" s="18">
        <v>216413</v>
      </c>
    </row>
    <row r="201" spans="1:10" x14ac:dyDescent="0.3">
      <c r="A201" s="18" t="s">
        <v>232</v>
      </c>
      <c r="B201" s="18">
        <v>23.44</v>
      </c>
      <c r="C201" s="18" t="s">
        <v>1190</v>
      </c>
      <c r="D201" s="18" t="s">
        <v>768</v>
      </c>
      <c r="E201" s="18">
        <v>-1.6E-2</v>
      </c>
      <c r="F201" s="18">
        <v>23.28</v>
      </c>
      <c r="G201" s="18">
        <v>23.88</v>
      </c>
      <c r="H201" s="18">
        <v>23.54</v>
      </c>
      <c r="I201" s="18">
        <v>2905442258</v>
      </c>
      <c r="J201" s="18">
        <v>123409268</v>
      </c>
    </row>
    <row r="202" spans="1:10" x14ac:dyDescent="0.3">
      <c r="A202" s="18" t="s">
        <v>233</v>
      </c>
      <c r="B202" s="18">
        <v>14.66</v>
      </c>
      <c r="C202" s="18" t="s">
        <v>1141</v>
      </c>
      <c r="D202" s="18" t="s">
        <v>1142</v>
      </c>
      <c r="E202" s="18">
        <v>7.6E-3</v>
      </c>
      <c r="F202" s="18">
        <v>14.34</v>
      </c>
      <c r="G202" s="18">
        <v>14.79</v>
      </c>
      <c r="H202" s="18">
        <v>14.52</v>
      </c>
      <c r="I202" s="18">
        <v>5671882</v>
      </c>
      <c r="J202" s="18">
        <v>390667</v>
      </c>
    </row>
    <row r="203" spans="1:10" x14ac:dyDescent="0.3">
      <c r="A203" s="18" t="s">
        <v>234</v>
      </c>
      <c r="B203" s="18">
        <v>74.45</v>
      </c>
      <c r="C203" s="18" t="s">
        <v>1191</v>
      </c>
      <c r="D203" s="18" t="s">
        <v>793</v>
      </c>
      <c r="E203" s="18">
        <v>1.6400000000000001E-2</v>
      </c>
      <c r="F203" s="18">
        <v>73</v>
      </c>
      <c r="G203" s="18">
        <v>75.2</v>
      </c>
      <c r="H203" s="18">
        <v>74.3</v>
      </c>
      <c r="I203" s="18">
        <v>32102299</v>
      </c>
      <c r="J203" s="18">
        <v>432094</v>
      </c>
    </row>
    <row r="204" spans="1:10" x14ac:dyDescent="0.3">
      <c r="A204" s="18" t="s">
        <v>235</v>
      </c>
      <c r="B204" s="18">
        <v>2.57</v>
      </c>
      <c r="C204" s="18" t="s">
        <v>791</v>
      </c>
      <c r="D204" s="18" t="s">
        <v>792</v>
      </c>
      <c r="E204" s="18">
        <v>-4.8099999999999997E-2</v>
      </c>
      <c r="F204" s="18">
        <v>2.57</v>
      </c>
      <c r="G204" s="18">
        <v>2.7</v>
      </c>
      <c r="H204" s="18">
        <v>2.62</v>
      </c>
      <c r="I204" s="18">
        <v>27508506</v>
      </c>
      <c r="J204" s="18">
        <v>10497918</v>
      </c>
    </row>
    <row r="205" spans="1:10" x14ac:dyDescent="0.3">
      <c r="A205" s="18" t="s">
        <v>236</v>
      </c>
      <c r="B205" s="18">
        <v>65.3</v>
      </c>
      <c r="C205" s="18" t="s">
        <v>1192</v>
      </c>
      <c r="D205" s="18" t="s">
        <v>1193</v>
      </c>
      <c r="E205" s="18">
        <v>6.1800000000000001E-2</v>
      </c>
      <c r="F205" s="18">
        <v>60</v>
      </c>
      <c r="G205" s="18">
        <v>65.849999999999994</v>
      </c>
      <c r="H205" s="18">
        <v>62.58</v>
      </c>
      <c r="I205" s="18">
        <v>232438010</v>
      </c>
      <c r="J205" s="18">
        <v>3714268</v>
      </c>
    </row>
    <row r="206" spans="1:10" x14ac:dyDescent="0.3">
      <c r="A206" s="18" t="s">
        <v>237</v>
      </c>
      <c r="B206" s="18">
        <v>8.4</v>
      </c>
      <c r="C206" s="18" t="s">
        <v>679</v>
      </c>
      <c r="D206" s="18" t="s">
        <v>1194</v>
      </c>
      <c r="E206" s="18">
        <v>-6.7699999999999996E-2</v>
      </c>
      <c r="F206" s="18">
        <v>8.2799999999999994</v>
      </c>
      <c r="G206" s="18">
        <v>8.94</v>
      </c>
      <c r="H206" s="18">
        <v>8.5500000000000007</v>
      </c>
      <c r="I206" s="18">
        <v>181723478</v>
      </c>
      <c r="J206" s="18">
        <v>21244165</v>
      </c>
    </row>
    <row r="207" spans="1:10" x14ac:dyDescent="0.3">
      <c r="A207" s="18" t="s">
        <v>238</v>
      </c>
      <c r="B207" s="18">
        <v>12.88</v>
      </c>
      <c r="C207" s="18" t="s">
        <v>870</v>
      </c>
      <c r="D207" s="18" t="s">
        <v>1195</v>
      </c>
      <c r="E207" s="18">
        <v>3.4500000000000003E-2</v>
      </c>
      <c r="F207" s="18">
        <v>11.95</v>
      </c>
      <c r="G207" s="18">
        <v>13.03</v>
      </c>
      <c r="H207" s="18">
        <v>12.42</v>
      </c>
      <c r="I207" s="18">
        <v>8132277</v>
      </c>
      <c r="J207" s="18">
        <v>654996</v>
      </c>
    </row>
    <row r="208" spans="1:10" x14ac:dyDescent="0.3">
      <c r="A208" s="18" t="s">
        <v>239</v>
      </c>
      <c r="B208" s="18">
        <v>14</v>
      </c>
      <c r="C208" s="18" t="s">
        <v>1196</v>
      </c>
      <c r="D208" s="18" t="s">
        <v>1197</v>
      </c>
      <c r="E208" s="18">
        <v>5.1799999999999999E-2</v>
      </c>
      <c r="F208" s="18">
        <v>13.5</v>
      </c>
      <c r="G208" s="18">
        <v>14</v>
      </c>
      <c r="H208" s="18">
        <v>13.72</v>
      </c>
      <c r="I208" s="18">
        <v>21211425</v>
      </c>
      <c r="J208" s="18">
        <v>1545679</v>
      </c>
    </row>
    <row r="209" spans="1:10" x14ac:dyDescent="0.3">
      <c r="A209" s="18" t="s">
        <v>240</v>
      </c>
      <c r="B209" s="18">
        <v>10.75</v>
      </c>
      <c r="C209" s="18" t="s">
        <v>1198</v>
      </c>
      <c r="D209" s="18" t="s">
        <v>1199</v>
      </c>
      <c r="E209" s="18">
        <v>1.03E-2</v>
      </c>
      <c r="F209" s="18">
        <v>10.51</v>
      </c>
      <c r="G209" s="18">
        <v>11.04</v>
      </c>
      <c r="H209" s="18">
        <v>10.8</v>
      </c>
      <c r="I209" s="18">
        <v>2445436</v>
      </c>
      <c r="J209" s="18">
        <v>226405</v>
      </c>
    </row>
    <row r="210" spans="1:10" x14ac:dyDescent="0.3">
      <c r="A210" s="18" t="s">
        <v>241</v>
      </c>
      <c r="B210" s="18">
        <v>26.8</v>
      </c>
      <c r="C210" s="18" t="s">
        <v>903</v>
      </c>
      <c r="D210" s="18" t="s">
        <v>1200</v>
      </c>
      <c r="E210" s="18">
        <v>-5.1999999999999998E-3</v>
      </c>
      <c r="F210" s="18">
        <v>26</v>
      </c>
      <c r="G210" s="18">
        <v>27.16</v>
      </c>
      <c r="H210" s="18">
        <v>26.42</v>
      </c>
      <c r="I210" s="18">
        <v>113664045</v>
      </c>
      <c r="J210" s="18">
        <v>4303020</v>
      </c>
    </row>
    <row r="211" spans="1:10" x14ac:dyDescent="0.3">
      <c r="A211" s="18" t="s">
        <v>242</v>
      </c>
      <c r="B211" s="18">
        <v>5.4</v>
      </c>
      <c r="C211" s="18" t="s">
        <v>1201</v>
      </c>
      <c r="D211" s="18" t="s">
        <v>1202</v>
      </c>
      <c r="E211" s="18">
        <v>-2.7E-2</v>
      </c>
      <c r="F211" s="18">
        <v>5.4</v>
      </c>
      <c r="G211" s="18">
        <v>5.57</v>
      </c>
      <c r="H211" s="18">
        <v>5.51</v>
      </c>
      <c r="I211" s="18">
        <v>308226621</v>
      </c>
      <c r="J211" s="18">
        <v>55908237</v>
      </c>
    </row>
    <row r="212" spans="1:10" x14ac:dyDescent="0.3">
      <c r="A212" s="18" t="s">
        <v>243</v>
      </c>
      <c r="B212" s="18">
        <v>9.7200000000000006</v>
      </c>
      <c r="C212" s="18" t="s">
        <v>1203</v>
      </c>
      <c r="D212" s="18" t="s">
        <v>1204</v>
      </c>
      <c r="E212" s="18">
        <v>-1.72E-2</v>
      </c>
      <c r="F212" s="18">
        <v>9.7100000000000009</v>
      </c>
      <c r="G212" s="18">
        <v>9.9700000000000006</v>
      </c>
      <c r="H212" s="18">
        <v>9.85</v>
      </c>
      <c r="I212" s="18">
        <v>1916421</v>
      </c>
      <c r="J212" s="18">
        <v>194553</v>
      </c>
    </row>
    <row r="213" spans="1:10" x14ac:dyDescent="0.3">
      <c r="A213" s="18" t="s">
        <v>244</v>
      </c>
      <c r="B213" s="18">
        <v>2.13</v>
      </c>
      <c r="C213" s="18" t="s">
        <v>772</v>
      </c>
      <c r="D213" s="18" t="s">
        <v>1205</v>
      </c>
      <c r="E213" s="18">
        <v>-9.2999999999999992E-3</v>
      </c>
      <c r="F213" s="18">
        <v>2.1</v>
      </c>
      <c r="G213" s="18">
        <v>2.1800000000000002</v>
      </c>
      <c r="H213" s="18">
        <v>2.12</v>
      </c>
      <c r="I213" s="18">
        <v>7813342</v>
      </c>
      <c r="J213" s="18">
        <v>3678702</v>
      </c>
    </row>
    <row r="214" spans="1:10" x14ac:dyDescent="0.3">
      <c r="A214" s="18" t="s">
        <v>245</v>
      </c>
      <c r="B214" s="18">
        <v>13.33</v>
      </c>
      <c r="C214" s="18" t="s">
        <v>1206</v>
      </c>
      <c r="D214" s="18" t="s">
        <v>871</v>
      </c>
      <c r="E214" s="18">
        <v>4.8000000000000001E-2</v>
      </c>
      <c r="F214" s="18">
        <v>12.58</v>
      </c>
      <c r="G214" s="18">
        <v>13.53</v>
      </c>
      <c r="H214" s="18">
        <v>13.2</v>
      </c>
      <c r="I214" s="18">
        <v>28968201</v>
      </c>
      <c r="J214" s="18">
        <v>2195086</v>
      </c>
    </row>
    <row r="215" spans="1:10" x14ac:dyDescent="0.3">
      <c r="A215" s="18" t="s">
        <v>246</v>
      </c>
      <c r="B215" s="18">
        <v>47.22</v>
      </c>
      <c r="C215" s="18" t="s">
        <v>1207</v>
      </c>
      <c r="D215" s="18" t="s">
        <v>1208</v>
      </c>
      <c r="E215" s="18">
        <v>4.24E-2</v>
      </c>
      <c r="F215" s="18">
        <v>45.4</v>
      </c>
      <c r="G215" s="18">
        <v>48.24</v>
      </c>
      <c r="H215" s="18">
        <v>46.92</v>
      </c>
      <c r="I215" s="18">
        <v>652274617</v>
      </c>
      <c r="J215" s="18">
        <v>13901573</v>
      </c>
    </row>
    <row r="216" spans="1:10" x14ac:dyDescent="0.3">
      <c r="A216" s="18" t="s">
        <v>247</v>
      </c>
      <c r="B216" s="18">
        <v>11.15</v>
      </c>
      <c r="C216" s="18" t="s">
        <v>1209</v>
      </c>
      <c r="D216" s="18" t="s">
        <v>877</v>
      </c>
      <c r="E216" s="18">
        <v>-8.8999999999999999E-3</v>
      </c>
      <c r="F216" s="18">
        <v>10.6</v>
      </c>
      <c r="G216" s="18">
        <v>11.4</v>
      </c>
      <c r="H216" s="18">
        <v>10.9</v>
      </c>
      <c r="I216" s="18">
        <v>42368003</v>
      </c>
      <c r="J216" s="18">
        <v>3885515</v>
      </c>
    </row>
    <row r="217" spans="1:10" x14ac:dyDescent="0.3">
      <c r="A217" s="18" t="s">
        <v>248</v>
      </c>
      <c r="B217" s="18">
        <v>290</v>
      </c>
      <c r="C217" s="18" t="s">
        <v>1145</v>
      </c>
      <c r="D217" s="18" t="s">
        <v>1210</v>
      </c>
      <c r="E217" s="18">
        <v>2.47E-2</v>
      </c>
      <c r="F217" s="18">
        <v>280.75</v>
      </c>
      <c r="G217" s="18">
        <v>304</v>
      </c>
      <c r="H217" s="18">
        <v>293.41000000000003</v>
      </c>
      <c r="I217" s="18">
        <v>70197034</v>
      </c>
      <c r="J217" s="18">
        <v>239245</v>
      </c>
    </row>
    <row r="218" spans="1:10" x14ac:dyDescent="0.3">
      <c r="A218" s="18" t="s">
        <v>249</v>
      </c>
      <c r="B218" s="18">
        <v>13.32</v>
      </c>
      <c r="C218" s="18" t="s">
        <v>1211</v>
      </c>
      <c r="D218" s="18" t="s">
        <v>776</v>
      </c>
      <c r="E218" s="18">
        <v>-2.5600000000000001E-2</v>
      </c>
      <c r="F218" s="18">
        <v>13.28</v>
      </c>
      <c r="G218" s="18">
        <v>13.72</v>
      </c>
      <c r="H218" s="18">
        <v>13.4</v>
      </c>
      <c r="I218" s="18">
        <v>44637001</v>
      </c>
      <c r="J218" s="18">
        <v>3331551</v>
      </c>
    </row>
    <row r="219" spans="1:10" x14ac:dyDescent="0.3">
      <c r="A219" s="18" t="s">
        <v>250</v>
      </c>
      <c r="B219" s="18">
        <v>3.61</v>
      </c>
      <c r="C219" s="18" t="s">
        <v>1212</v>
      </c>
      <c r="D219" s="18" t="s">
        <v>1213</v>
      </c>
      <c r="E219" s="18">
        <v>-3.4799999999999998E-2</v>
      </c>
      <c r="F219" s="18">
        <v>3.59</v>
      </c>
      <c r="G219" s="18">
        <v>3.78</v>
      </c>
      <c r="H219" s="18">
        <v>3.65</v>
      </c>
      <c r="I219" s="18">
        <v>106581597</v>
      </c>
      <c r="J219" s="18">
        <v>29205428</v>
      </c>
    </row>
    <row r="220" spans="1:10" x14ac:dyDescent="0.3">
      <c r="A220" s="18" t="s">
        <v>251</v>
      </c>
      <c r="B220" s="18">
        <v>65</v>
      </c>
      <c r="C220" s="18" t="s">
        <v>1214</v>
      </c>
      <c r="D220" s="18" t="s">
        <v>1215</v>
      </c>
      <c r="E220" s="18">
        <v>2.4400000000000002E-2</v>
      </c>
      <c r="F220" s="18">
        <v>62.55</v>
      </c>
      <c r="G220" s="18">
        <v>66.55</v>
      </c>
      <c r="H220" s="18">
        <v>64.7</v>
      </c>
      <c r="I220" s="18">
        <v>35572655</v>
      </c>
      <c r="J220" s="18">
        <v>549794</v>
      </c>
    </row>
    <row r="221" spans="1:10" x14ac:dyDescent="0.3">
      <c r="A221" s="18" t="s">
        <v>252</v>
      </c>
      <c r="B221" s="18">
        <v>6.43</v>
      </c>
      <c r="C221" s="18" t="s">
        <v>764</v>
      </c>
      <c r="D221" s="18" t="s">
        <v>765</v>
      </c>
      <c r="E221" s="18">
        <v>-3.1600000000000003E-2</v>
      </c>
      <c r="F221" s="18">
        <v>6.37</v>
      </c>
      <c r="G221" s="18">
        <v>6.67</v>
      </c>
      <c r="H221" s="18">
        <v>6.49</v>
      </c>
      <c r="I221" s="18">
        <v>18731553</v>
      </c>
      <c r="J221" s="18">
        <v>2888471</v>
      </c>
    </row>
    <row r="222" spans="1:10" x14ac:dyDescent="0.3">
      <c r="A222" s="18" t="s">
        <v>253</v>
      </c>
      <c r="B222" s="18">
        <v>80.150000000000006</v>
      </c>
      <c r="C222" s="18" t="s">
        <v>1216</v>
      </c>
      <c r="D222" s="18" t="s">
        <v>1217</v>
      </c>
      <c r="E222" s="18">
        <v>-5.04E-2</v>
      </c>
      <c r="F222" s="18">
        <v>80.150000000000006</v>
      </c>
      <c r="G222" s="18">
        <v>84.6</v>
      </c>
      <c r="H222" s="18">
        <v>81.88</v>
      </c>
      <c r="I222" s="18">
        <v>1482499524</v>
      </c>
      <c r="J222" s="18">
        <v>18105724</v>
      </c>
    </row>
    <row r="223" spans="1:10" x14ac:dyDescent="0.3">
      <c r="A223" s="18" t="s">
        <v>254</v>
      </c>
      <c r="B223" s="18">
        <v>35.22</v>
      </c>
      <c r="C223" s="18" t="s">
        <v>677</v>
      </c>
      <c r="D223" s="18" t="s">
        <v>1218</v>
      </c>
      <c r="E223" s="18">
        <v>-2.3E-3</v>
      </c>
      <c r="F223" s="18">
        <v>35.18</v>
      </c>
      <c r="G223" s="18">
        <v>36.06</v>
      </c>
      <c r="H223" s="18">
        <v>35.5</v>
      </c>
      <c r="I223" s="18">
        <v>79081620</v>
      </c>
      <c r="J223" s="18">
        <v>2227728</v>
      </c>
    </row>
    <row r="224" spans="1:10" x14ac:dyDescent="0.3">
      <c r="A224" s="18" t="s">
        <v>255</v>
      </c>
      <c r="B224" s="18">
        <v>105.9</v>
      </c>
      <c r="C224" s="18" t="s">
        <v>1219</v>
      </c>
      <c r="D224" s="18" t="s">
        <v>1220</v>
      </c>
      <c r="E224" s="18">
        <v>-3.3799999999999997E-2</v>
      </c>
      <c r="F224" s="18">
        <v>105</v>
      </c>
      <c r="G224" s="18">
        <v>109.9</v>
      </c>
      <c r="H224" s="18">
        <v>106.24</v>
      </c>
      <c r="I224" s="18">
        <v>3875177017</v>
      </c>
      <c r="J224" s="18">
        <v>36474547</v>
      </c>
    </row>
    <row r="225" spans="1:10" x14ac:dyDescent="0.3">
      <c r="A225" s="18" t="s">
        <v>256</v>
      </c>
      <c r="B225" s="18">
        <v>22.1</v>
      </c>
      <c r="C225" s="18" t="s">
        <v>777</v>
      </c>
      <c r="D225" s="18" t="s">
        <v>1221</v>
      </c>
      <c r="E225" s="18">
        <v>-9.9000000000000008E-3</v>
      </c>
      <c r="F225" s="18">
        <v>21.54</v>
      </c>
      <c r="G225" s="18">
        <v>22.48</v>
      </c>
      <c r="H225" s="18">
        <v>22.09</v>
      </c>
      <c r="I225" s="18">
        <v>20349369</v>
      </c>
      <c r="J225" s="18">
        <v>921214</v>
      </c>
    </row>
    <row r="226" spans="1:10" x14ac:dyDescent="0.3">
      <c r="A226" s="18" t="s">
        <v>257</v>
      </c>
      <c r="B226" s="18">
        <v>8.14</v>
      </c>
      <c r="C226" s="18" t="s">
        <v>1222</v>
      </c>
      <c r="D226" s="18" t="s">
        <v>1223</v>
      </c>
      <c r="E226" s="18">
        <v>-2.5000000000000001E-3</v>
      </c>
      <c r="F226" s="18">
        <v>7.96</v>
      </c>
      <c r="G226" s="18">
        <v>8.2200000000000006</v>
      </c>
      <c r="H226" s="18">
        <v>8.09</v>
      </c>
      <c r="I226" s="18">
        <v>6781035</v>
      </c>
      <c r="J226" s="18">
        <v>837957</v>
      </c>
    </row>
    <row r="227" spans="1:10" x14ac:dyDescent="0.3">
      <c r="A227" s="18" t="s">
        <v>258</v>
      </c>
      <c r="B227" s="18">
        <v>20.420000000000002</v>
      </c>
      <c r="C227" s="18" t="s">
        <v>1224</v>
      </c>
      <c r="D227" s="18" t="s">
        <v>1225</v>
      </c>
      <c r="E227" s="18">
        <v>-2.76E-2</v>
      </c>
      <c r="F227" s="18">
        <v>20.420000000000002</v>
      </c>
      <c r="G227" s="18">
        <v>21.18</v>
      </c>
      <c r="H227" s="18">
        <v>20.67</v>
      </c>
      <c r="I227" s="18">
        <v>11619340</v>
      </c>
      <c r="J227" s="18">
        <v>562224</v>
      </c>
    </row>
    <row r="228" spans="1:10" x14ac:dyDescent="0.3">
      <c r="A228" s="18" t="s">
        <v>259</v>
      </c>
      <c r="B228" s="18">
        <v>141.5</v>
      </c>
      <c r="C228" s="18" t="s">
        <v>1226</v>
      </c>
      <c r="D228" s="18" t="s">
        <v>919</v>
      </c>
      <c r="E228" s="18">
        <v>4.3E-3</v>
      </c>
      <c r="F228" s="18">
        <v>135</v>
      </c>
      <c r="G228" s="18">
        <v>142.80000000000001</v>
      </c>
      <c r="H228" s="18">
        <v>138.30000000000001</v>
      </c>
      <c r="I228" s="18">
        <v>123456642</v>
      </c>
      <c r="J228" s="18">
        <v>892647</v>
      </c>
    </row>
    <row r="229" spans="1:10" x14ac:dyDescent="0.3">
      <c r="A229" s="18" t="s">
        <v>260</v>
      </c>
      <c r="B229" s="18">
        <v>20.64</v>
      </c>
      <c r="C229" s="18" t="s">
        <v>1172</v>
      </c>
      <c r="D229" s="18" t="s">
        <v>1227</v>
      </c>
      <c r="E229" s="18">
        <v>-5.7500000000000002E-2</v>
      </c>
      <c r="F229" s="18">
        <v>20.64</v>
      </c>
      <c r="G229" s="18">
        <v>22.4</v>
      </c>
      <c r="H229" s="18">
        <v>21.39</v>
      </c>
      <c r="I229" s="18">
        <v>68821714</v>
      </c>
      <c r="J229" s="18">
        <v>3217063</v>
      </c>
    </row>
    <row r="230" spans="1:10" x14ac:dyDescent="0.3">
      <c r="A230" s="18" t="s">
        <v>261</v>
      </c>
      <c r="B230" s="18">
        <v>10.43</v>
      </c>
      <c r="C230" s="18" t="s">
        <v>702</v>
      </c>
      <c r="D230" s="18" t="s">
        <v>716</v>
      </c>
      <c r="E230" s="18">
        <v>-1.14E-2</v>
      </c>
      <c r="F230" s="18">
        <v>10.29</v>
      </c>
      <c r="G230" s="18">
        <v>11.21</v>
      </c>
      <c r="H230" s="18">
        <v>10.79</v>
      </c>
      <c r="I230" s="18">
        <v>167369350</v>
      </c>
      <c r="J230" s="18">
        <v>15512135</v>
      </c>
    </row>
    <row r="231" spans="1:10" x14ac:dyDescent="0.3">
      <c r="A231" s="18" t="s">
        <v>262</v>
      </c>
      <c r="B231" s="18">
        <v>42.92</v>
      </c>
      <c r="C231" s="18" t="s">
        <v>1228</v>
      </c>
      <c r="D231" s="18" t="s">
        <v>1229</v>
      </c>
      <c r="E231" s="18">
        <v>3.1699999999999999E-2</v>
      </c>
      <c r="F231" s="18">
        <v>40.880000000000003</v>
      </c>
      <c r="G231" s="18">
        <v>42.92</v>
      </c>
      <c r="H231" s="18">
        <v>41.46</v>
      </c>
      <c r="I231" s="18">
        <v>142885931</v>
      </c>
      <c r="J231" s="18">
        <v>3445988</v>
      </c>
    </row>
    <row r="232" spans="1:10" x14ac:dyDescent="0.3">
      <c r="A232" s="18" t="s">
        <v>263</v>
      </c>
      <c r="B232" s="18">
        <v>88.3</v>
      </c>
      <c r="C232" s="18" t="s">
        <v>1230</v>
      </c>
      <c r="D232" s="18" t="s">
        <v>1075</v>
      </c>
      <c r="E232" s="18">
        <v>1.7899999999999999E-2</v>
      </c>
      <c r="F232" s="18">
        <v>86.8</v>
      </c>
      <c r="G232" s="18">
        <v>89.55</v>
      </c>
      <c r="H232" s="18">
        <v>88.55</v>
      </c>
      <c r="I232" s="18">
        <v>121752267</v>
      </c>
      <c r="J232" s="18">
        <v>1374938</v>
      </c>
    </row>
    <row r="233" spans="1:10" x14ac:dyDescent="0.3">
      <c r="A233" s="18" t="s">
        <v>264</v>
      </c>
      <c r="B233" s="18">
        <v>10.09</v>
      </c>
      <c r="C233" s="18" t="s">
        <v>1231</v>
      </c>
      <c r="D233" s="18" t="s">
        <v>1232</v>
      </c>
      <c r="E233" s="18">
        <v>-4.8999999999999998E-3</v>
      </c>
      <c r="F233" s="18">
        <v>9.9499999999999993</v>
      </c>
      <c r="G233" s="18">
        <v>10.3</v>
      </c>
      <c r="H233" s="18">
        <v>10.08</v>
      </c>
      <c r="I233" s="18">
        <v>2405033</v>
      </c>
      <c r="J233" s="18">
        <v>238598</v>
      </c>
    </row>
    <row r="234" spans="1:10" x14ac:dyDescent="0.3">
      <c r="A234" s="18" t="s">
        <v>265</v>
      </c>
      <c r="B234" s="18">
        <v>62.95</v>
      </c>
      <c r="C234" s="18" t="s">
        <v>1233</v>
      </c>
      <c r="D234" s="18" t="s">
        <v>1234</v>
      </c>
      <c r="E234" s="18">
        <v>1.21E-2</v>
      </c>
      <c r="F234" s="18">
        <v>61.4</v>
      </c>
      <c r="G234" s="18">
        <v>63.9</v>
      </c>
      <c r="H234" s="18">
        <v>62.92</v>
      </c>
      <c r="I234" s="18">
        <v>72427971</v>
      </c>
      <c r="J234" s="18">
        <v>1151065</v>
      </c>
    </row>
    <row r="235" spans="1:10" x14ac:dyDescent="0.3">
      <c r="A235" s="18" t="s">
        <v>266</v>
      </c>
      <c r="B235" s="18">
        <v>134.6</v>
      </c>
      <c r="C235" s="18" t="s">
        <v>1235</v>
      </c>
      <c r="D235" s="18" t="s">
        <v>781</v>
      </c>
      <c r="E235" s="18">
        <v>-2.2000000000000001E-3</v>
      </c>
      <c r="F235" s="18">
        <v>133.80000000000001</v>
      </c>
      <c r="G235" s="18">
        <v>138.30000000000001</v>
      </c>
      <c r="H235" s="18">
        <v>135.9</v>
      </c>
      <c r="I235" s="18">
        <v>265996332</v>
      </c>
      <c r="J235" s="18">
        <v>1957264</v>
      </c>
    </row>
    <row r="236" spans="1:10" x14ac:dyDescent="0.3">
      <c r="A236" s="18" t="s">
        <v>267</v>
      </c>
      <c r="B236" s="18">
        <v>3.04</v>
      </c>
      <c r="C236" s="18" t="s">
        <v>1168</v>
      </c>
      <c r="D236" s="18" t="s">
        <v>1236</v>
      </c>
      <c r="E236" s="18">
        <v>-6.4999999999999997E-3</v>
      </c>
      <c r="F236" s="18">
        <v>2.98</v>
      </c>
      <c r="G236" s="18">
        <v>3.11</v>
      </c>
      <c r="H236" s="18">
        <v>3.05</v>
      </c>
      <c r="I236" s="18">
        <v>41800411</v>
      </c>
      <c r="J236" s="18">
        <v>13699903</v>
      </c>
    </row>
    <row r="237" spans="1:10" x14ac:dyDescent="0.3">
      <c r="A237" s="18" t="s">
        <v>268</v>
      </c>
      <c r="B237" s="18">
        <v>7.08</v>
      </c>
      <c r="C237" s="18" t="s">
        <v>734</v>
      </c>
      <c r="D237" s="18" t="s">
        <v>735</v>
      </c>
      <c r="E237" s="18">
        <v>3.6600000000000001E-2</v>
      </c>
      <c r="F237" s="18">
        <v>6.8</v>
      </c>
      <c r="G237" s="18">
        <v>7.11</v>
      </c>
      <c r="H237" s="18">
        <v>6.96</v>
      </c>
      <c r="I237" s="18">
        <v>122433831</v>
      </c>
      <c r="J237" s="18">
        <v>17588345</v>
      </c>
    </row>
    <row r="238" spans="1:10" x14ac:dyDescent="0.3">
      <c r="A238" s="18" t="s">
        <v>269</v>
      </c>
      <c r="B238" s="18">
        <v>16.010000000000002</v>
      </c>
      <c r="C238" s="18" t="s">
        <v>1237</v>
      </c>
      <c r="D238" s="18" t="s">
        <v>1238</v>
      </c>
      <c r="E238" s="18">
        <v>1.01E-2</v>
      </c>
      <c r="F238" s="18">
        <v>15.66</v>
      </c>
      <c r="G238" s="18">
        <v>16.54</v>
      </c>
      <c r="H238" s="18">
        <v>16.03</v>
      </c>
      <c r="I238" s="18">
        <v>35630030</v>
      </c>
      <c r="J238" s="18">
        <v>2222351</v>
      </c>
    </row>
    <row r="239" spans="1:10" x14ac:dyDescent="0.3">
      <c r="A239" s="18" t="s">
        <v>270</v>
      </c>
      <c r="B239" s="18">
        <v>23.46</v>
      </c>
      <c r="C239" s="18" t="s">
        <v>665</v>
      </c>
      <c r="D239" s="18" t="s">
        <v>904</v>
      </c>
      <c r="E239" s="18">
        <v>-2.7400000000000001E-2</v>
      </c>
      <c r="F239" s="18">
        <v>23.46</v>
      </c>
      <c r="G239" s="18">
        <v>24.18</v>
      </c>
      <c r="H239" s="18">
        <v>23.77</v>
      </c>
      <c r="I239" s="18">
        <v>62758390</v>
      </c>
      <c r="J239" s="18">
        <v>2640068</v>
      </c>
    </row>
    <row r="240" spans="1:10" x14ac:dyDescent="0.3">
      <c r="A240" s="18" t="s">
        <v>271</v>
      </c>
      <c r="B240" s="18">
        <v>341</v>
      </c>
      <c r="C240" s="18" t="s">
        <v>1239</v>
      </c>
      <c r="D240" s="18" t="s">
        <v>1240</v>
      </c>
      <c r="E240" s="18">
        <v>-1.0200000000000001E-2</v>
      </c>
      <c r="F240" s="18">
        <v>340</v>
      </c>
      <c r="G240" s="18">
        <v>346</v>
      </c>
      <c r="H240" s="18">
        <v>342.43</v>
      </c>
      <c r="I240" s="18">
        <v>23882118</v>
      </c>
      <c r="J240" s="18">
        <v>69744</v>
      </c>
    </row>
    <row r="241" spans="1:10" x14ac:dyDescent="0.3">
      <c r="A241" s="18" t="s">
        <v>272</v>
      </c>
      <c r="B241" s="18">
        <v>16.239999999999998</v>
      </c>
      <c r="C241" s="18" t="s">
        <v>1241</v>
      </c>
      <c r="D241" s="18" t="s">
        <v>1242</v>
      </c>
      <c r="E241" s="18">
        <v>-3.9100000000000003E-2</v>
      </c>
      <c r="F241" s="18">
        <v>16.22</v>
      </c>
      <c r="G241" s="18">
        <v>16.89</v>
      </c>
      <c r="H241" s="18">
        <v>16.48</v>
      </c>
      <c r="I241" s="18">
        <v>30199203</v>
      </c>
      <c r="J241" s="18">
        <v>1832156</v>
      </c>
    </row>
    <row r="242" spans="1:10" x14ac:dyDescent="0.3">
      <c r="A242" s="18" t="s">
        <v>273</v>
      </c>
      <c r="B242" s="18">
        <v>17.27</v>
      </c>
      <c r="C242" s="18" t="s">
        <v>1243</v>
      </c>
      <c r="D242" s="18" t="s">
        <v>1244</v>
      </c>
      <c r="E242" s="18">
        <v>-2.87E-2</v>
      </c>
      <c r="F242" s="18">
        <v>17.11</v>
      </c>
      <c r="G242" s="18">
        <v>17.93</v>
      </c>
      <c r="H242" s="18">
        <v>17.420000000000002</v>
      </c>
      <c r="I242" s="18">
        <v>21966501</v>
      </c>
      <c r="J242" s="18">
        <v>1261233</v>
      </c>
    </row>
    <row r="243" spans="1:10" x14ac:dyDescent="0.3">
      <c r="A243" s="18" t="s">
        <v>274</v>
      </c>
      <c r="B243" s="18">
        <v>8.4</v>
      </c>
      <c r="C243" s="18" t="s">
        <v>785</v>
      </c>
      <c r="D243" s="18" t="s">
        <v>679</v>
      </c>
      <c r="E243" s="18">
        <v>-5.8999999999999999E-3</v>
      </c>
      <c r="F243" s="18">
        <v>8.1999999999999993</v>
      </c>
      <c r="G243" s="18">
        <v>8.89</v>
      </c>
      <c r="H243" s="18">
        <v>8.36</v>
      </c>
      <c r="I243" s="18">
        <v>2977373</v>
      </c>
      <c r="J243" s="18">
        <v>356310</v>
      </c>
    </row>
    <row r="244" spans="1:10" x14ac:dyDescent="0.3">
      <c r="A244" s="18" t="s">
        <v>275</v>
      </c>
      <c r="B244" s="18">
        <v>270</v>
      </c>
      <c r="C244" s="18" t="s">
        <v>783</v>
      </c>
      <c r="D244" s="18" t="s">
        <v>1245</v>
      </c>
      <c r="E244" s="18">
        <v>3.7000000000000002E-3</v>
      </c>
      <c r="F244" s="18">
        <v>265</v>
      </c>
      <c r="G244" s="18">
        <v>273</v>
      </c>
      <c r="H244" s="18">
        <v>268.83999999999997</v>
      </c>
      <c r="I244" s="18">
        <v>128208481</v>
      </c>
      <c r="J244" s="18">
        <v>476896</v>
      </c>
    </row>
    <row r="245" spans="1:10" x14ac:dyDescent="0.3">
      <c r="A245" s="18" t="s">
        <v>276</v>
      </c>
      <c r="B245" s="18">
        <v>289.25</v>
      </c>
      <c r="C245" s="18" t="s">
        <v>784</v>
      </c>
      <c r="D245" s="18" t="s">
        <v>89</v>
      </c>
      <c r="E245" s="18">
        <v>9.98E-2</v>
      </c>
      <c r="F245" s="18">
        <v>265</v>
      </c>
      <c r="G245" s="18">
        <v>289.25</v>
      </c>
      <c r="H245" s="18">
        <v>286.8</v>
      </c>
      <c r="I245" s="18">
        <v>906340194</v>
      </c>
      <c r="J245" s="18">
        <v>3160231</v>
      </c>
    </row>
    <row r="246" spans="1:10" x14ac:dyDescent="0.3">
      <c r="A246" s="18" t="s">
        <v>277</v>
      </c>
      <c r="B246" s="18">
        <v>8.25</v>
      </c>
      <c r="C246" s="18" t="s">
        <v>785</v>
      </c>
      <c r="D246" s="18" t="s">
        <v>1246</v>
      </c>
      <c r="E246" s="18">
        <v>-1.7899999999999999E-2</v>
      </c>
      <c r="F246" s="18">
        <v>8.24</v>
      </c>
      <c r="G246" s="18">
        <v>8.58</v>
      </c>
      <c r="H246" s="18">
        <v>8.3699999999999992</v>
      </c>
      <c r="I246" s="18">
        <v>16897343</v>
      </c>
      <c r="J246" s="18">
        <v>2018910</v>
      </c>
    </row>
    <row r="247" spans="1:10" x14ac:dyDescent="0.3">
      <c r="A247" s="18" t="s">
        <v>278</v>
      </c>
      <c r="B247" s="18">
        <v>3.64</v>
      </c>
      <c r="C247" s="18" t="s">
        <v>1247</v>
      </c>
      <c r="D247" s="18" t="s">
        <v>786</v>
      </c>
      <c r="E247" s="18">
        <v>-3.4500000000000003E-2</v>
      </c>
      <c r="F247" s="18">
        <v>3.63</v>
      </c>
      <c r="G247" s="18">
        <v>3.79</v>
      </c>
      <c r="H247" s="18">
        <v>3.7</v>
      </c>
      <c r="I247" s="18">
        <v>27940979</v>
      </c>
      <c r="J247" s="18">
        <v>7553286</v>
      </c>
    </row>
    <row r="248" spans="1:10" x14ac:dyDescent="0.3">
      <c r="A248" s="18" t="s">
        <v>279</v>
      </c>
      <c r="B248" s="18">
        <v>1.79</v>
      </c>
      <c r="C248" s="18" t="s">
        <v>629</v>
      </c>
      <c r="D248" s="18" t="s">
        <v>680</v>
      </c>
      <c r="E248" s="18">
        <v>1.1299999999999999E-2</v>
      </c>
      <c r="F248" s="18">
        <v>1.76</v>
      </c>
      <c r="G248" s="18">
        <v>1.89</v>
      </c>
      <c r="H248" s="18">
        <v>1.82</v>
      </c>
      <c r="I248" s="18">
        <v>264298826</v>
      </c>
      <c r="J248" s="18">
        <v>144876115</v>
      </c>
    </row>
    <row r="249" spans="1:10" x14ac:dyDescent="0.3">
      <c r="A249" s="18" t="s">
        <v>280</v>
      </c>
      <c r="B249" s="18">
        <v>238.1</v>
      </c>
      <c r="C249" s="18" t="s">
        <v>89</v>
      </c>
      <c r="D249" s="18" t="s">
        <v>1248</v>
      </c>
      <c r="E249" s="18">
        <v>-9.98E-2</v>
      </c>
      <c r="F249" s="18">
        <v>238.1</v>
      </c>
      <c r="G249" s="18">
        <v>269.5</v>
      </c>
      <c r="H249" s="18">
        <v>244.6</v>
      </c>
      <c r="I249" s="18">
        <v>4441930327</v>
      </c>
      <c r="J249" s="18">
        <v>18160003</v>
      </c>
    </row>
    <row r="250" spans="1:10" x14ac:dyDescent="0.3">
      <c r="A250" s="18" t="s">
        <v>281</v>
      </c>
      <c r="B250" s="18">
        <v>53</v>
      </c>
      <c r="C250" s="18" t="s">
        <v>787</v>
      </c>
      <c r="D250" s="18" t="s">
        <v>1249</v>
      </c>
      <c r="E250" s="18">
        <v>-1.2999999999999999E-2</v>
      </c>
      <c r="F250" s="18">
        <v>52.6</v>
      </c>
      <c r="G250" s="18">
        <v>54.4</v>
      </c>
      <c r="H250" s="18">
        <v>53.34</v>
      </c>
      <c r="I250" s="18">
        <v>50005292</v>
      </c>
      <c r="J250" s="18">
        <v>937539</v>
      </c>
    </row>
    <row r="251" spans="1:10" x14ac:dyDescent="0.3">
      <c r="A251" s="18" t="s">
        <v>282</v>
      </c>
      <c r="B251" s="18">
        <v>22.92</v>
      </c>
      <c r="C251" s="18" t="s">
        <v>1250</v>
      </c>
      <c r="D251" s="18" t="s">
        <v>1251</v>
      </c>
      <c r="E251" s="18">
        <v>2.0500000000000001E-2</v>
      </c>
      <c r="F251" s="18">
        <v>22.1</v>
      </c>
      <c r="G251" s="18">
        <v>23.06</v>
      </c>
      <c r="H251" s="18">
        <v>22.56</v>
      </c>
      <c r="I251" s="18">
        <v>92601553</v>
      </c>
      <c r="J251" s="18">
        <v>4105595</v>
      </c>
    </row>
    <row r="252" spans="1:10" x14ac:dyDescent="0.3">
      <c r="A252" s="18" t="s">
        <v>283</v>
      </c>
      <c r="B252" s="18">
        <v>185.3</v>
      </c>
      <c r="C252" s="18" t="s">
        <v>1252</v>
      </c>
      <c r="D252" s="18" t="s">
        <v>1253</v>
      </c>
      <c r="E252" s="18">
        <v>-1.7999999999999999E-2</v>
      </c>
      <c r="F252" s="18">
        <v>182</v>
      </c>
      <c r="G252" s="18">
        <v>190</v>
      </c>
      <c r="H252" s="18">
        <v>185.29</v>
      </c>
      <c r="I252" s="18">
        <v>76148136</v>
      </c>
      <c r="J252" s="18">
        <v>410963</v>
      </c>
    </row>
    <row r="253" spans="1:10" x14ac:dyDescent="0.3">
      <c r="A253" s="18" t="s">
        <v>284</v>
      </c>
      <c r="B253" s="18">
        <v>19.43</v>
      </c>
      <c r="C253" s="18" t="s">
        <v>1254</v>
      </c>
      <c r="D253" s="18" t="s">
        <v>1255</v>
      </c>
      <c r="E253" s="18">
        <v>-4.7500000000000001E-2</v>
      </c>
      <c r="F253" s="18">
        <v>19.399999999999999</v>
      </c>
      <c r="G253" s="18">
        <v>20.420000000000002</v>
      </c>
      <c r="H253" s="18">
        <v>19.75</v>
      </c>
      <c r="I253" s="18">
        <v>872155561</v>
      </c>
      <c r="J253" s="18">
        <v>44154516</v>
      </c>
    </row>
    <row r="254" spans="1:10" x14ac:dyDescent="0.3">
      <c r="A254" s="18" t="s">
        <v>285</v>
      </c>
      <c r="B254" s="18">
        <v>24.74</v>
      </c>
      <c r="C254" s="18" t="s">
        <v>1256</v>
      </c>
      <c r="D254" s="18" t="s">
        <v>1257</v>
      </c>
      <c r="E254" s="18">
        <v>-4.8500000000000001E-2</v>
      </c>
      <c r="F254" s="18">
        <v>23.88</v>
      </c>
      <c r="G254" s="18">
        <v>25.9</v>
      </c>
      <c r="H254" s="18">
        <v>24.62</v>
      </c>
      <c r="I254" s="18">
        <v>28924140</v>
      </c>
      <c r="J254" s="18">
        <v>1174870</v>
      </c>
    </row>
    <row r="255" spans="1:10" x14ac:dyDescent="0.3">
      <c r="A255" s="18" t="s">
        <v>286</v>
      </c>
      <c r="B255" s="18">
        <v>37.700000000000003</v>
      </c>
      <c r="C255" s="18" t="s">
        <v>1258</v>
      </c>
      <c r="D255" s="18" t="s">
        <v>789</v>
      </c>
      <c r="E255" s="18">
        <v>-5.0000000000000001E-4</v>
      </c>
      <c r="F255" s="18">
        <v>37.04</v>
      </c>
      <c r="G255" s="18">
        <v>38.479999999999997</v>
      </c>
      <c r="H255" s="18">
        <v>37.69</v>
      </c>
      <c r="I255" s="18">
        <v>45442585</v>
      </c>
      <c r="J255" s="18">
        <v>1205613</v>
      </c>
    </row>
    <row r="256" spans="1:10" x14ac:dyDescent="0.3">
      <c r="A256" s="18" t="s">
        <v>287</v>
      </c>
      <c r="B256" s="18">
        <v>1.31</v>
      </c>
      <c r="C256" s="18" t="s">
        <v>802</v>
      </c>
      <c r="D256" s="18" t="s">
        <v>854</v>
      </c>
      <c r="E256" s="18">
        <v>-2.9600000000000001E-2</v>
      </c>
      <c r="F256" s="18">
        <v>1.28</v>
      </c>
      <c r="G256" s="18">
        <v>1.47</v>
      </c>
      <c r="H256" s="18">
        <v>1.37</v>
      </c>
      <c r="I256" s="18">
        <v>556156671</v>
      </c>
      <c r="J256" s="18">
        <v>404908127</v>
      </c>
    </row>
    <row r="257" spans="1:10" x14ac:dyDescent="0.3">
      <c r="A257" s="18" t="s">
        <v>288</v>
      </c>
      <c r="B257" s="18">
        <v>8.2200000000000006</v>
      </c>
      <c r="C257" s="18" t="s">
        <v>1259</v>
      </c>
      <c r="D257" s="18" t="s">
        <v>1246</v>
      </c>
      <c r="E257" s="18">
        <v>-2.8400000000000002E-2</v>
      </c>
      <c r="F257" s="18">
        <v>8.06</v>
      </c>
      <c r="G257" s="18">
        <v>8.85</v>
      </c>
      <c r="H257" s="18">
        <v>8.32</v>
      </c>
      <c r="I257" s="18">
        <v>56623095</v>
      </c>
      <c r="J257" s="18">
        <v>6802644</v>
      </c>
    </row>
    <row r="258" spans="1:10" x14ac:dyDescent="0.3">
      <c r="A258" s="18" t="s">
        <v>289</v>
      </c>
      <c r="B258" s="18">
        <v>3.09</v>
      </c>
      <c r="C258" s="18" t="s">
        <v>661</v>
      </c>
      <c r="D258" s="18" t="s">
        <v>649</v>
      </c>
      <c r="E258" s="18">
        <v>3.3399999999999999E-2</v>
      </c>
      <c r="F258" s="18">
        <v>2.95</v>
      </c>
      <c r="G258" s="18">
        <v>3.09</v>
      </c>
      <c r="H258" s="18">
        <v>3.01</v>
      </c>
      <c r="I258" s="18">
        <v>321163509</v>
      </c>
      <c r="J258" s="18">
        <v>106865173</v>
      </c>
    </row>
    <row r="259" spans="1:10" x14ac:dyDescent="0.3">
      <c r="A259" s="18" t="s">
        <v>291</v>
      </c>
      <c r="B259" s="18">
        <v>10.47</v>
      </c>
      <c r="C259" s="18" t="s">
        <v>1260</v>
      </c>
      <c r="D259" s="18" t="s">
        <v>1261</v>
      </c>
      <c r="E259" s="18">
        <v>-2.24E-2</v>
      </c>
      <c r="F259" s="18">
        <v>10.47</v>
      </c>
      <c r="G259" s="18">
        <v>10.79</v>
      </c>
      <c r="H259" s="18">
        <v>10.56</v>
      </c>
      <c r="I259" s="18">
        <v>19815261</v>
      </c>
      <c r="J259" s="18">
        <v>1876192</v>
      </c>
    </row>
    <row r="260" spans="1:10" x14ac:dyDescent="0.3">
      <c r="A260" s="18" t="s">
        <v>292</v>
      </c>
      <c r="B260" s="18">
        <v>2.56</v>
      </c>
      <c r="C260" s="18" t="s">
        <v>1262</v>
      </c>
      <c r="D260" s="18" t="s">
        <v>791</v>
      </c>
      <c r="E260" s="18">
        <v>-2.29E-2</v>
      </c>
      <c r="F260" s="18">
        <v>2.56</v>
      </c>
      <c r="G260" s="18">
        <v>2.63</v>
      </c>
      <c r="H260" s="18">
        <v>2.59</v>
      </c>
      <c r="I260" s="18">
        <v>54713095</v>
      </c>
      <c r="J260" s="18">
        <v>21165009</v>
      </c>
    </row>
    <row r="261" spans="1:10" x14ac:dyDescent="0.3">
      <c r="A261" s="18" t="s">
        <v>293</v>
      </c>
      <c r="B261" s="18">
        <v>44.88</v>
      </c>
      <c r="C261" s="18" t="s">
        <v>1263</v>
      </c>
      <c r="D261" s="18" t="s">
        <v>761</v>
      </c>
      <c r="E261" s="18">
        <v>-2.7699999999999999E-2</v>
      </c>
      <c r="F261" s="18">
        <v>44.7</v>
      </c>
      <c r="G261" s="18">
        <v>46.5</v>
      </c>
      <c r="H261" s="18">
        <v>45.57</v>
      </c>
      <c r="I261" s="18">
        <v>40456105</v>
      </c>
      <c r="J261" s="18">
        <v>887869</v>
      </c>
    </row>
    <row r="262" spans="1:10" x14ac:dyDescent="0.3">
      <c r="A262" s="18" t="s">
        <v>294</v>
      </c>
      <c r="B262" s="18">
        <v>73.55</v>
      </c>
      <c r="C262" s="18" t="s">
        <v>654</v>
      </c>
      <c r="D262" s="18" t="s">
        <v>1264</v>
      </c>
      <c r="E262" s="18">
        <v>-2.9700000000000001E-2</v>
      </c>
      <c r="F262" s="18">
        <v>73.400000000000006</v>
      </c>
      <c r="G262" s="18">
        <v>76.599999999999994</v>
      </c>
      <c r="H262" s="18">
        <v>74.37</v>
      </c>
      <c r="I262" s="18">
        <v>150855912</v>
      </c>
      <c r="J262" s="18">
        <v>2028505</v>
      </c>
    </row>
    <row r="263" spans="1:10" x14ac:dyDescent="0.3">
      <c r="A263" s="18" t="s">
        <v>295</v>
      </c>
      <c r="B263" s="18">
        <v>38.5</v>
      </c>
      <c r="C263" s="18" t="s">
        <v>719</v>
      </c>
      <c r="D263" s="18" t="s">
        <v>720</v>
      </c>
      <c r="E263" s="18">
        <v>-2.9700000000000001E-2</v>
      </c>
      <c r="F263" s="18">
        <v>37.76</v>
      </c>
      <c r="G263" s="18">
        <v>39.799999999999997</v>
      </c>
      <c r="H263" s="18">
        <v>38.880000000000003</v>
      </c>
      <c r="I263" s="18">
        <v>16853567</v>
      </c>
      <c r="J263" s="18">
        <v>433463</v>
      </c>
    </row>
    <row r="264" spans="1:10" x14ac:dyDescent="0.3">
      <c r="A264" s="18" t="s">
        <v>296</v>
      </c>
      <c r="B264" s="18">
        <v>1.66</v>
      </c>
      <c r="C264" s="18" t="s">
        <v>1265</v>
      </c>
      <c r="D264" s="18" t="s">
        <v>809</v>
      </c>
      <c r="E264" s="18">
        <v>1.2200000000000001E-2</v>
      </c>
      <c r="F264" s="18">
        <v>1.63</v>
      </c>
      <c r="G264" s="18">
        <v>1.67</v>
      </c>
      <c r="H264" s="18">
        <v>1.65</v>
      </c>
      <c r="I264" s="18">
        <v>2971589</v>
      </c>
      <c r="J264" s="18">
        <v>1803588</v>
      </c>
    </row>
    <row r="265" spans="1:10" x14ac:dyDescent="0.3">
      <c r="A265" s="18" t="s">
        <v>297</v>
      </c>
      <c r="B265" s="18">
        <v>3.41</v>
      </c>
      <c r="C265" s="18" t="s">
        <v>794</v>
      </c>
      <c r="D265" s="18" t="s">
        <v>795</v>
      </c>
      <c r="E265" s="18">
        <v>-2.5700000000000001E-2</v>
      </c>
      <c r="F265" s="18">
        <v>3.39</v>
      </c>
      <c r="G265" s="18">
        <v>3.54</v>
      </c>
      <c r="H265" s="18">
        <v>3.43</v>
      </c>
      <c r="I265" s="18">
        <v>47419210</v>
      </c>
      <c r="J265" s="18">
        <v>13828455</v>
      </c>
    </row>
    <row r="266" spans="1:10" x14ac:dyDescent="0.3">
      <c r="A266" s="18" t="s">
        <v>298</v>
      </c>
      <c r="B266" s="18">
        <v>6</v>
      </c>
      <c r="C266" s="18" t="s">
        <v>1266</v>
      </c>
      <c r="D266" s="18" t="s">
        <v>1267</v>
      </c>
      <c r="E266" s="18">
        <v>-8.3000000000000001E-3</v>
      </c>
      <c r="F266" s="18">
        <v>5.98</v>
      </c>
      <c r="G266" s="18">
        <v>6.14</v>
      </c>
      <c r="H266" s="18">
        <v>6.05</v>
      </c>
      <c r="I266" s="18">
        <v>14616177</v>
      </c>
      <c r="J266" s="18">
        <v>2415928</v>
      </c>
    </row>
    <row r="267" spans="1:10" x14ac:dyDescent="0.3">
      <c r="A267" s="18" t="s">
        <v>299</v>
      </c>
      <c r="B267" s="18">
        <v>15.17</v>
      </c>
      <c r="C267" s="18" t="s">
        <v>759</v>
      </c>
      <c r="D267" s="18" t="s">
        <v>1268</v>
      </c>
      <c r="E267" s="18">
        <v>-4.2900000000000001E-2</v>
      </c>
      <c r="F267" s="18">
        <v>15.17</v>
      </c>
      <c r="G267" s="18">
        <v>15.96</v>
      </c>
      <c r="H267" s="18">
        <v>15.51</v>
      </c>
      <c r="I267" s="18">
        <v>52579484</v>
      </c>
      <c r="J267" s="18">
        <v>3390663</v>
      </c>
    </row>
    <row r="268" spans="1:10" x14ac:dyDescent="0.3">
      <c r="A268" s="18" t="s">
        <v>300</v>
      </c>
      <c r="B268" s="18">
        <v>11.18</v>
      </c>
      <c r="C268" s="18" t="s">
        <v>1269</v>
      </c>
      <c r="D268" s="18" t="s">
        <v>744</v>
      </c>
      <c r="E268" s="18">
        <v>-4.6899999999999997E-2</v>
      </c>
      <c r="F268" s="18">
        <v>11.16</v>
      </c>
      <c r="G268" s="18">
        <v>11.96</v>
      </c>
      <c r="H268" s="18">
        <v>11.41</v>
      </c>
      <c r="I268" s="18">
        <v>92387362</v>
      </c>
      <c r="J268" s="18">
        <v>8098359</v>
      </c>
    </row>
    <row r="269" spans="1:10" x14ac:dyDescent="0.3">
      <c r="A269" s="18" t="s">
        <v>301</v>
      </c>
      <c r="B269" s="18">
        <v>2.96</v>
      </c>
      <c r="C269" s="18" t="s">
        <v>798</v>
      </c>
      <c r="D269" s="18" t="s">
        <v>907</v>
      </c>
      <c r="E269" s="18">
        <v>-3.27E-2</v>
      </c>
      <c r="F269" s="18">
        <v>2.88</v>
      </c>
      <c r="G269" s="18">
        <v>3.05</v>
      </c>
      <c r="H269" s="18">
        <v>2.94</v>
      </c>
      <c r="I269" s="18">
        <v>6851509</v>
      </c>
      <c r="J269" s="18">
        <v>2334105</v>
      </c>
    </row>
    <row r="270" spans="1:10" x14ac:dyDescent="0.3">
      <c r="A270" s="18" t="s">
        <v>302</v>
      </c>
      <c r="B270" s="18">
        <v>13.32</v>
      </c>
      <c r="C270" s="18" t="s">
        <v>1211</v>
      </c>
      <c r="D270" s="18" t="s">
        <v>871</v>
      </c>
      <c r="E270" s="18">
        <v>2.3E-3</v>
      </c>
      <c r="F270" s="18">
        <v>13.29</v>
      </c>
      <c r="G270" s="18">
        <v>13.99</v>
      </c>
      <c r="H270" s="18">
        <v>13.49</v>
      </c>
      <c r="I270" s="18">
        <v>80736494</v>
      </c>
      <c r="J270" s="18">
        <v>5983749</v>
      </c>
    </row>
    <row r="271" spans="1:10" x14ac:dyDescent="0.3">
      <c r="A271" s="18" t="s">
        <v>303</v>
      </c>
      <c r="B271" s="18">
        <v>26.4</v>
      </c>
      <c r="C271" s="18" t="s">
        <v>666</v>
      </c>
      <c r="D271" s="18" t="s">
        <v>1270</v>
      </c>
      <c r="E271" s="18">
        <v>9.9000000000000008E-3</v>
      </c>
      <c r="F271" s="18">
        <v>25.76</v>
      </c>
      <c r="G271" s="18">
        <v>27.8</v>
      </c>
      <c r="H271" s="18">
        <v>26.77</v>
      </c>
      <c r="I271" s="18">
        <v>186599608</v>
      </c>
      <c r="J271" s="18">
        <v>6970749</v>
      </c>
    </row>
    <row r="272" spans="1:10" x14ac:dyDescent="0.3">
      <c r="A272" s="18" t="s">
        <v>304</v>
      </c>
      <c r="B272" s="18">
        <v>1.96</v>
      </c>
      <c r="C272" s="18" t="s">
        <v>1271</v>
      </c>
      <c r="D272" s="18" t="s">
        <v>1272</v>
      </c>
      <c r="E272" s="18">
        <v>-1.5100000000000001E-2</v>
      </c>
      <c r="F272" s="18">
        <v>1.92</v>
      </c>
      <c r="G272" s="18">
        <v>2.0099999999999998</v>
      </c>
      <c r="H272" s="18">
        <v>1.96</v>
      </c>
      <c r="I272" s="18">
        <v>4395869</v>
      </c>
      <c r="J272" s="18">
        <v>2238884</v>
      </c>
    </row>
    <row r="273" spans="1:10" x14ac:dyDescent="0.3">
      <c r="A273" s="18" t="s">
        <v>305</v>
      </c>
      <c r="B273" s="18">
        <v>1.29</v>
      </c>
      <c r="C273" s="18" t="s">
        <v>1273</v>
      </c>
      <c r="D273" s="18" t="s">
        <v>801</v>
      </c>
      <c r="E273" s="18">
        <v>-2.2700000000000001E-2</v>
      </c>
      <c r="F273" s="18">
        <v>1.28</v>
      </c>
      <c r="G273" s="18">
        <v>1.33</v>
      </c>
      <c r="H273" s="18">
        <v>1.3</v>
      </c>
      <c r="I273" s="18">
        <v>36099980</v>
      </c>
      <c r="J273" s="18">
        <v>27726323</v>
      </c>
    </row>
    <row r="274" spans="1:10" x14ac:dyDescent="0.3">
      <c r="A274" s="18" t="s">
        <v>306</v>
      </c>
      <c r="B274" s="18">
        <v>2.19</v>
      </c>
      <c r="C274" s="18" t="s">
        <v>1274</v>
      </c>
      <c r="D274" s="18" t="s">
        <v>1275</v>
      </c>
      <c r="E274" s="18">
        <v>-3.5200000000000002E-2</v>
      </c>
      <c r="F274" s="18">
        <v>2.19</v>
      </c>
      <c r="G274" s="18">
        <v>2.27</v>
      </c>
      <c r="H274" s="18">
        <v>2.2200000000000002</v>
      </c>
      <c r="I274" s="18">
        <v>111321899</v>
      </c>
      <c r="J274" s="18">
        <v>50080117</v>
      </c>
    </row>
    <row r="275" spans="1:10" x14ac:dyDescent="0.3">
      <c r="A275" s="18" t="s">
        <v>307</v>
      </c>
      <c r="B275" s="18">
        <v>1.79</v>
      </c>
      <c r="C275" s="18" t="s">
        <v>629</v>
      </c>
      <c r="D275" s="18" t="s">
        <v>680</v>
      </c>
      <c r="E275" s="18">
        <v>-4.7899999999999998E-2</v>
      </c>
      <c r="F275" s="18">
        <v>1.78</v>
      </c>
      <c r="G275" s="18">
        <v>1.88</v>
      </c>
      <c r="H275" s="18">
        <v>1.81</v>
      </c>
      <c r="I275" s="18">
        <v>82684378</v>
      </c>
      <c r="J275" s="18">
        <v>45651246</v>
      </c>
    </row>
    <row r="276" spans="1:10" x14ac:dyDescent="0.3">
      <c r="A276" s="18" t="s">
        <v>308</v>
      </c>
      <c r="B276" s="18">
        <v>2.13</v>
      </c>
      <c r="C276" s="18" t="s">
        <v>772</v>
      </c>
      <c r="D276" s="18" t="s">
        <v>1205</v>
      </c>
      <c r="E276" s="18">
        <v>0</v>
      </c>
      <c r="F276" s="18">
        <v>2.1</v>
      </c>
      <c r="G276" s="18">
        <v>2.14</v>
      </c>
      <c r="H276" s="18">
        <v>2.12</v>
      </c>
      <c r="I276" s="18">
        <v>14713663</v>
      </c>
      <c r="J276" s="18">
        <v>6954866</v>
      </c>
    </row>
    <row r="277" spans="1:10" x14ac:dyDescent="0.3">
      <c r="A277" s="18" t="s">
        <v>309</v>
      </c>
      <c r="B277" s="18">
        <v>2.84</v>
      </c>
      <c r="C277" s="18" t="s">
        <v>652</v>
      </c>
      <c r="D277" s="18" t="s">
        <v>803</v>
      </c>
      <c r="E277" s="18">
        <v>-3.4000000000000002E-2</v>
      </c>
      <c r="F277" s="18">
        <v>2.84</v>
      </c>
      <c r="G277" s="18">
        <v>3.03</v>
      </c>
      <c r="H277" s="18">
        <v>2.9</v>
      </c>
      <c r="I277" s="18">
        <v>178402287</v>
      </c>
      <c r="J277" s="18">
        <v>61473143</v>
      </c>
    </row>
    <row r="278" spans="1:10" x14ac:dyDescent="0.3">
      <c r="A278" s="18" t="s">
        <v>310</v>
      </c>
      <c r="B278" s="18">
        <v>6.5</v>
      </c>
      <c r="C278" s="18" t="s">
        <v>1276</v>
      </c>
      <c r="D278" s="18" t="s">
        <v>676</v>
      </c>
      <c r="E278" s="18">
        <v>-2.69E-2</v>
      </c>
      <c r="F278" s="18">
        <v>6.45</v>
      </c>
      <c r="G278" s="18">
        <v>6.71</v>
      </c>
      <c r="H278" s="18">
        <v>6.55</v>
      </c>
      <c r="I278" s="18">
        <v>20554639</v>
      </c>
      <c r="J278" s="18">
        <v>3140212</v>
      </c>
    </row>
    <row r="279" spans="1:10" x14ac:dyDescent="0.3">
      <c r="A279" s="18" t="s">
        <v>311</v>
      </c>
      <c r="B279" s="18">
        <v>2.2200000000000002</v>
      </c>
      <c r="C279" s="18" t="s">
        <v>1277</v>
      </c>
      <c r="D279" s="18" t="s">
        <v>804</v>
      </c>
      <c r="E279" s="18">
        <v>-5.9299999999999999E-2</v>
      </c>
      <c r="F279" s="18">
        <v>2.2200000000000002</v>
      </c>
      <c r="G279" s="18">
        <v>2.38</v>
      </c>
      <c r="H279" s="18">
        <v>2.2799999999999998</v>
      </c>
      <c r="I279" s="18">
        <v>44316162</v>
      </c>
      <c r="J279" s="18">
        <v>19477144</v>
      </c>
    </row>
    <row r="280" spans="1:10" x14ac:dyDescent="0.3">
      <c r="A280" s="18" t="s">
        <v>312</v>
      </c>
      <c r="B280" s="18">
        <v>357</v>
      </c>
      <c r="C280" s="18" t="s">
        <v>1278</v>
      </c>
      <c r="D280" s="18" t="s">
        <v>1279</v>
      </c>
      <c r="E280" s="18">
        <v>-2.06E-2</v>
      </c>
      <c r="F280" s="18">
        <v>353</v>
      </c>
      <c r="G280" s="18">
        <v>366</v>
      </c>
      <c r="H280" s="18">
        <v>358.1</v>
      </c>
      <c r="I280" s="18">
        <v>13997173</v>
      </c>
      <c r="J280" s="18">
        <v>39087</v>
      </c>
    </row>
    <row r="281" spans="1:10" x14ac:dyDescent="0.3">
      <c r="A281" s="18" t="s">
        <v>313</v>
      </c>
      <c r="B281" s="18">
        <v>359.75</v>
      </c>
      <c r="C281" s="18" t="s">
        <v>1280</v>
      </c>
      <c r="D281" s="18" t="s">
        <v>1281</v>
      </c>
      <c r="E281" s="18">
        <v>7.0000000000000001E-3</v>
      </c>
      <c r="F281" s="18">
        <v>359.75</v>
      </c>
      <c r="G281" s="18">
        <v>370</v>
      </c>
      <c r="H281" s="18">
        <v>365.75</v>
      </c>
      <c r="I281" s="18">
        <v>3459304</v>
      </c>
      <c r="J281" s="18">
        <v>9458</v>
      </c>
    </row>
    <row r="282" spans="1:10" x14ac:dyDescent="0.3">
      <c r="A282" s="18" t="s">
        <v>314</v>
      </c>
      <c r="B282" s="18">
        <v>180.2</v>
      </c>
      <c r="C282" s="18" t="s">
        <v>1282</v>
      </c>
      <c r="D282" s="18" t="s">
        <v>1283</v>
      </c>
      <c r="E282" s="18">
        <v>-2.75E-2</v>
      </c>
      <c r="F282" s="18">
        <v>180.2</v>
      </c>
      <c r="G282" s="18">
        <v>187</v>
      </c>
      <c r="H282" s="18">
        <v>183.22</v>
      </c>
      <c r="I282" s="18">
        <v>5677450</v>
      </c>
      <c r="J282" s="18">
        <v>30987</v>
      </c>
    </row>
    <row r="283" spans="1:10" x14ac:dyDescent="0.3">
      <c r="A283" s="18" t="s">
        <v>315</v>
      </c>
      <c r="B283" s="18">
        <v>6.42</v>
      </c>
      <c r="C283" s="18" t="s">
        <v>693</v>
      </c>
      <c r="D283" s="18" t="s">
        <v>764</v>
      </c>
      <c r="E283" s="18">
        <v>-1.9800000000000002E-2</v>
      </c>
      <c r="F283" s="18">
        <v>6.18</v>
      </c>
      <c r="G283" s="18">
        <v>6.73</v>
      </c>
      <c r="H283" s="18">
        <v>6.41</v>
      </c>
      <c r="I283" s="18">
        <v>96127329</v>
      </c>
      <c r="J283" s="18">
        <v>15003583</v>
      </c>
    </row>
    <row r="284" spans="1:10" x14ac:dyDescent="0.3">
      <c r="A284" s="18" t="s">
        <v>316</v>
      </c>
      <c r="B284" s="18">
        <v>225</v>
      </c>
      <c r="C284" s="18" t="s">
        <v>863</v>
      </c>
      <c r="D284" s="18" t="s">
        <v>864</v>
      </c>
      <c r="E284" s="18">
        <v>3.6900000000000002E-2</v>
      </c>
      <c r="F284" s="18">
        <v>214</v>
      </c>
      <c r="G284" s="18">
        <v>229.5</v>
      </c>
      <c r="H284" s="18">
        <v>223.48</v>
      </c>
      <c r="I284" s="18">
        <v>31181598</v>
      </c>
      <c r="J284" s="18">
        <v>139530</v>
      </c>
    </row>
    <row r="285" spans="1:10" x14ac:dyDescent="0.3">
      <c r="A285" s="18" t="s">
        <v>317</v>
      </c>
      <c r="B285" s="18">
        <v>61.1</v>
      </c>
      <c r="C285" s="18" t="s">
        <v>1284</v>
      </c>
      <c r="D285" s="18" t="s">
        <v>1285</v>
      </c>
      <c r="E285" s="18">
        <v>-4.8999999999999998E-3</v>
      </c>
      <c r="F285" s="18">
        <v>60.6</v>
      </c>
      <c r="G285" s="18">
        <v>62.45</v>
      </c>
      <c r="H285" s="18">
        <v>61.49</v>
      </c>
      <c r="I285" s="18">
        <v>209858759</v>
      </c>
      <c r="J285" s="18">
        <v>3413060</v>
      </c>
    </row>
    <row r="286" spans="1:10" x14ac:dyDescent="0.3">
      <c r="A286" s="18" t="s">
        <v>318</v>
      </c>
      <c r="B286" s="18">
        <v>5500000</v>
      </c>
      <c r="C286" s="18" t="s">
        <v>89</v>
      </c>
      <c r="D286" s="18" t="s">
        <v>1286</v>
      </c>
      <c r="E286" s="18">
        <v>0</v>
      </c>
      <c r="F286" s="18">
        <v>0</v>
      </c>
      <c r="G286" s="18">
        <v>0</v>
      </c>
      <c r="H286" s="18">
        <v>0</v>
      </c>
      <c r="I286" s="18">
        <v>0</v>
      </c>
      <c r="J286" s="18">
        <v>0</v>
      </c>
    </row>
    <row r="287" spans="1:10" x14ac:dyDescent="0.3">
      <c r="A287" s="18" t="s">
        <v>319</v>
      </c>
      <c r="B287" s="18">
        <v>78</v>
      </c>
      <c r="C287" s="18" t="s">
        <v>1287</v>
      </c>
      <c r="D287" s="18" t="s">
        <v>1288</v>
      </c>
      <c r="E287" s="18">
        <v>2.4299999999999999E-2</v>
      </c>
      <c r="F287" s="18">
        <v>75.099999999999994</v>
      </c>
      <c r="G287" s="18">
        <v>78</v>
      </c>
      <c r="H287" s="18">
        <v>76.290000000000006</v>
      </c>
      <c r="I287" s="18">
        <v>2706504</v>
      </c>
      <c r="J287" s="18">
        <v>35477</v>
      </c>
    </row>
    <row r="288" spans="1:10" x14ac:dyDescent="0.3">
      <c r="A288" s="18" t="s">
        <v>320</v>
      </c>
      <c r="B288" s="18">
        <v>524990</v>
      </c>
      <c r="C288" s="18" t="s">
        <v>1289</v>
      </c>
      <c r="D288" s="18" t="s">
        <v>1290</v>
      </c>
      <c r="E288" s="18">
        <v>0</v>
      </c>
      <c r="F288" s="18">
        <v>524990</v>
      </c>
      <c r="G288" s="18">
        <v>524990</v>
      </c>
      <c r="H288" s="18">
        <v>524990</v>
      </c>
      <c r="I288" s="18">
        <v>524990</v>
      </c>
      <c r="J288" s="18">
        <v>1</v>
      </c>
    </row>
    <row r="289" spans="1:10" x14ac:dyDescent="0.3">
      <c r="A289" s="18" t="s">
        <v>321</v>
      </c>
      <c r="B289" s="18">
        <v>10.75</v>
      </c>
      <c r="C289" s="18" t="s">
        <v>1199</v>
      </c>
      <c r="D289" s="18" t="s">
        <v>1291</v>
      </c>
      <c r="E289" s="18">
        <v>-2.01E-2</v>
      </c>
      <c r="F289" s="18">
        <v>10.75</v>
      </c>
      <c r="G289" s="18">
        <v>10.98</v>
      </c>
      <c r="H289" s="18">
        <v>10.8</v>
      </c>
      <c r="I289" s="18">
        <v>3054787641</v>
      </c>
      <c r="J289" s="18">
        <v>282757723</v>
      </c>
    </row>
    <row r="290" spans="1:10" x14ac:dyDescent="0.3">
      <c r="A290" s="18" t="s">
        <v>322</v>
      </c>
      <c r="B290" s="18">
        <v>34.04</v>
      </c>
      <c r="C290" s="18" t="s">
        <v>1292</v>
      </c>
      <c r="D290" s="18" t="s">
        <v>725</v>
      </c>
      <c r="E290" s="18">
        <v>-1.6799999999999999E-2</v>
      </c>
      <c r="F290" s="18">
        <v>34.04</v>
      </c>
      <c r="G290" s="18">
        <v>34.78</v>
      </c>
      <c r="H290" s="18">
        <v>34.409999999999997</v>
      </c>
      <c r="I290" s="18">
        <v>39229747</v>
      </c>
      <c r="J290" s="18">
        <v>1140007</v>
      </c>
    </row>
    <row r="291" spans="1:10" x14ac:dyDescent="0.3">
      <c r="A291" s="18" t="s">
        <v>323</v>
      </c>
      <c r="B291" s="18">
        <v>11.52</v>
      </c>
      <c r="C291" s="18" t="s">
        <v>865</v>
      </c>
      <c r="D291" s="18" t="s">
        <v>866</v>
      </c>
      <c r="E291" s="18">
        <v>-2.7799999999999998E-2</v>
      </c>
      <c r="F291" s="18">
        <v>11.34</v>
      </c>
      <c r="G291" s="18">
        <v>11.97</v>
      </c>
      <c r="H291" s="18">
        <v>11.75</v>
      </c>
      <c r="I291" s="18">
        <v>48105220</v>
      </c>
      <c r="J291" s="18">
        <v>4095130</v>
      </c>
    </row>
    <row r="292" spans="1:10" x14ac:dyDescent="0.3">
      <c r="A292" s="18" t="s">
        <v>324</v>
      </c>
      <c r="B292" s="18">
        <v>32.32</v>
      </c>
      <c r="C292" s="18" t="s">
        <v>1293</v>
      </c>
      <c r="D292" s="18" t="s">
        <v>1294</v>
      </c>
      <c r="E292" s="18">
        <v>-2.7699999999999999E-2</v>
      </c>
      <c r="F292" s="18">
        <v>32.020000000000003</v>
      </c>
      <c r="G292" s="18">
        <v>33.68</v>
      </c>
      <c r="H292" s="18">
        <v>32.57</v>
      </c>
      <c r="I292" s="18">
        <v>37971403</v>
      </c>
      <c r="J292" s="18">
        <v>1165845</v>
      </c>
    </row>
    <row r="293" spans="1:10" x14ac:dyDescent="0.3">
      <c r="A293" s="18" t="s">
        <v>325</v>
      </c>
      <c r="B293" s="18">
        <v>14.46</v>
      </c>
      <c r="C293" s="18" t="s">
        <v>1295</v>
      </c>
      <c r="D293" s="18" t="s">
        <v>1296</v>
      </c>
      <c r="E293" s="18">
        <v>-5.4899999999999997E-2</v>
      </c>
      <c r="F293" s="18">
        <v>14.46</v>
      </c>
      <c r="G293" s="18">
        <v>15.3</v>
      </c>
      <c r="H293" s="18">
        <v>14.54</v>
      </c>
      <c r="I293" s="18">
        <v>204478341</v>
      </c>
      <c r="J293" s="18">
        <v>14058841</v>
      </c>
    </row>
    <row r="294" spans="1:10" x14ac:dyDescent="0.3">
      <c r="A294" s="18" t="s">
        <v>326</v>
      </c>
      <c r="B294" s="18">
        <v>29.38</v>
      </c>
      <c r="C294" s="18" t="s">
        <v>1297</v>
      </c>
      <c r="D294" s="18" t="s">
        <v>1298</v>
      </c>
      <c r="E294" s="18">
        <v>2E-3</v>
      </c>
      <c r="F294" s="18">
        <v>28.38</v>
      </c>
      <c r="G294" s="18">
        <v>30.28</v>
      </c>
      <c r="H294" s="18">
        <v>29.59</v>
      </c>
      <c r="I294" s="18">
        <v>23237405</v>
      </c>
      <c r="J294" s="18">
        <v>785416</v>
      </c>
    </row>
    <row r="295" spans="1:10" x14ac:dyDescent="0.3">
      <c r="A295" s="18" t="s">
        <v>327</v>
      </c>
      <c r="B295" s="18">
        <v>4000000</v>
      </c>
      <c r="C295" s="18" t="s">
        <v>89</v>
      </c>
      <c r="D295" s="18" t="s">
        <v>1299</v>
      </c>
      <c r="E295" s="18">
        <v>0</v>
      </c>
      <c r="F295" s="18">
        <v>4000000</v>
      </c>
      <c r="G295" s="18">
        <v>4000000</v>
      </c>
      <c r="H295" s="18">
        <v>4000000</v>
      </c>
      <c r="I295" s="18">
        <v>4000000</v>
      </c>
      <c r="J295" s="18">
        <v>1</v>
      </c>
    </row>
    <row r="296" spans="1:10" x14ac:dyDescent="0.3">
      <c r="A296" s="18" t="s">
        <v>328</v>
      </c>
      <c r="B296" s="18">
        <v>32.799999999999997</v>
      </c>
      <c r="C296" s="18" t="s">
        <v>1300</v>
      </c>
      <c r="D296" s="18" t="s">
        <v>876</v>
      </c>
      <c r="E296" s="18">
        <v>-2.3199999999999998E-2</v>
      </c>
      <c r="F296" s="18">
        <v>32.799999999999997</v>
      </c>
      <c r="G296" s="18">
        <v>33.659999999999997</v>
      </c>
      <c r="H296" s="18">
        <v>33.15</v>
      </c>
      <c r="I296" s="18">
        <v>177083077</v>
      </c>
      <c r="J296" s="18">
        <v>5342171</v>
      </c>
    </row>
    <row r="297" spans="1:10" x14ac:dyDescent="0.3">
      <c r="A297" s="18" t="s">
        <v>329</v>
      </c>
      <c r="B297" s="18">
        <v>7.58</v>
      </c>
      <c r="C297" s="18" t="s">
        <v>651</v>
      </c>
      <c r="D297" s="18" t="s">
        <v>1301</v>
      </c>
      <c r="E297" s="18">
        <v>9.2999999999999992E-3</v>
      </c>
      <c r="F297" s="18">
        <v>7.53</v>
      </c>
      <c r="G297" s="18">
        <v>7.66</v>
      </c>
      <c r="H297" s="18">
        <v>7.57</v>
      </c>
      <c r="I297" s="18">
        <v>4050424</v>
      </c>
      <c r="J297" s="18">
        <v>534791</v>
      </c>
    </row>
    <row r="298" spans="1:10" x14ac:dyDescent="0.3">
      <c r="A298" s="18" t="s">
        <v>330</v>
      </c>
      <c r="B298" s="18">
        <v>7.72</v>
      </c>
      <c r="C298" s="18" t="s">
        <v>807</v>
      </c>
      <c r="D298" s="18" t="s">
        <v>667</v>
      </c>
      <c r="E298" s="18">
        <v>-1.4E-2</v>
      </c>
      <c r="F298" s="18">
        <v>7.68</v>
      </c>
      <c r="G298" s="18">
        <v>8.06</v>
      </c>
      <c r="H298" s="18">
        <v>7.82</v>
      </c>
      <c r="I298" s="18">
        <v>17979156</v>
      </c>
      <c r="J298" s="18">
        <v>2299769</v>
      </c>
    </row>
    <row r="299" spans="1:10" x14ac:dyDescent="0.3">
      <c r="A299" s="18" t="s">
        <v>331</v>
      </c>
      <c r="B299" s="18">
        <v>6.22</v>
      </c>
      <c r="C299" s="18" t="s">
        <v>631</v>
      </c>
      <c r="D299" s="18" t="s">
        <v>900</v>
      </c>
      <c r="E299" s="18">
        <v>-4.3099999999999999E-2</v>
      </c>
      <c r="F299" s="18">
        <v>6.22</v>
      </c>
      <c r="G299" s="18">
        <v>6.63</v>
      </c>
      <c r="H299" s="18">
        <v>6.4</v>
      </c>
      <c r="I299" s="18">
        <v>117975670</v>
      </c>
      <c r="J299" s="18">
        <v>18422850</v>
      </c>
    </row>
    <row r="300" spans="1:10" x14ac:dyDescent="0.3">
      <c r="A300" s="18" t="s">
        <v>332</v>
      </c>
      <c r="B300" s="18">
        <v>118</v>
      </c>
      <c r="C300" s="18" t="s">
        <v>1302</v>
      </c>
      <c r="D300" s="18" t="s">
        <v>1303</v>
      </c>
      <c r="E300" s="18">
        <v>8.5000000000000006E-3</v>
      </c>
      <c r="F300" s="18">
        <v>114.9</v>
      </c>
      <c r="G300" s="18">
        <v>119</v>
      </c>
      <c r="H300" s="18">
        <v>116.76</v>
      </c>
      <c r="I300" s="18">
        <v>67386447</v>
      </c>
      <c r="J300" s="18">
        <v>577131</v>
      </c>
    </row>
    <row r="301" spans="1:10" x14ac:dyDescent="0.3">
      <c r="A301" s="18" t="s">
        <v>333</v>
      </c>
      <c r="B301" s="18">
        <v>43.18</v>
      </c>
      <c r="C301" s="18" t="s">
        <v>1304</v>
      </c>
      <c r="D301" s="18" t="s">
        <v>1305</v>
      </c>
      <c r="E301" s="18">
        <v>-3.6200000000000003E-2</v>
      </c>
      <c r="F301" s="18">
        <v>42.3</v>
      </c>
      <c r="G301" s="18">
        <v>45.46</v>
      </c>
      <c r="H301" s="18">
        <v>43.16</v>
      </c>
      <c r="I301" s="18">
        <v>8130855</v>
      </c>
      <c r="J301" s="18">
        <v>188392</v>
      </c>
    </row>
    <row r="302" spans="1:10" x14ac:dyDescent="0.3">
      <c r="A302" s="18" t="s">
        <v>334</v>
      </c>
      <c r="B302" s="18">
        <v>4.9000000000000004</v>
      </c>
      <c r="C302" s="18" t="s">
        <v>687</v>
      </c>
      <c r="D302" s="18" t="s">
        <v>766</v>
      </c>
      <c r="E302" s="18">
        <v>-6.1000000000000004E-3</v>
      </c>
      <c r="F302" s="18">
        <v>4.8600000000000003</v>
      </c>
      <c r="G302" s="18">
        <v>5.01</v>
      </c>
      <c r="H302" s="18">
        <v>4.9000000000000004</v>
      </c>
      <c r="I302" s="18">
        <v>14820356</v>
      </c>
      <c r="J302" s="18">
        <v>3022169</v>
      </c>
    </row>
    <row r="303" spans="1:10" x14ac:dyDescent="0.3">
      <c r="A303" s="18" t="s">
        <v>335</v>
      </c>
      <c r="B303" s="18">
        <v>20.04</v>
      </c>
      <c r="C303" s="18" t="s">
        <v>1306</v>
      </c>
      <c r="D303" s="18" t="s">
        <v>1166</v>
      </c>
      <c r="E303" s="18">
        <v>-3.0000000000000001E-3</v>
      </c>
      <c r="F303" s="18">
        <v>19.8</v>
      </c>
      <c r="G303" s="18">
        <v>21.24</v>
      </c>
      <c r="H303" s="18">
        <v>20.51</v>
      </c>
      <c r="I303" s="18">
        <v>98735611</v>
      </c>
      <c r="J303" s="18">
        <v>4813371</v>
      </c>
    </row>
    <row r="304" spans="1:10" x14ac:dyDescent="0.3">
      <c r="A304" s="18" t="s">
        <v>336</v>
      </c>
      <c r="B304" s="18">
        <v>224.3</v>
      </c>
      <c r="C304" s="18" t="s">
        <v>1307</v>
      </c>
      <c r="D304" s="18" t="s">
        <v>1308</v>
      </c>
      <c r="E304" s="18">
        <v>1.04E-2</v>
      </c>
      <c r="F304" s="18">
        <v>221.5</v>
      </c>
      <c r="G304" s="18">
        <v>230.2</v>
      </c>
      <c r="H304" s="18">
        <v>226.33</v>
      </c>
      <c r="I304" s="18">
        <v>22326322</v>
      </c>
      <c r="J304" s="18">
        <v>98644</v>
      </c>
    </row>
    <row r="305" spans="1:10" x14ac:dyDescent="0.3">
      <c r="A305" s="18" t="s">
        <v>337</v>
      </c>
      <c r="B305" s="18">
        <v>7.95</v>
      </c>
      <c r="C305" s="18" t="s">
        <v>1309</v>
      </c>
      <c r="D305" s="18" t="s">
        <v>1310</v>
      </c>
      <c r="E305" s="18">
        <v>-1.12E-2</v>
      </c>
      <c r="F305" s="18">
        <v>7.86</v>
      </c>
      <c r="G305" s="18">
        <v>8.16</v>
      </c>
      <c r="H305" s="18">
        <v>8.02</v>
      </c>
      <c r="I305" s="18">
        <v>29619104</v>
      </c>
      <c r="J305" s="18">
        <v>3692447</v>
      </c>
    </row>
    <row r="306" spans="1:10" x14ac:dyDescent="0.3">
      <c r="A306" s="18" t="s">
        <v>338</v>
      </c>
      <c r="B306" s="18">
        <v>9.94</v>
      </c>
      <c r="C306" s="18" t="s">
        <v>1311</v>
      </c>
      <c r="D306" s="18" t="s">
        <v>848</v>
      </c>
      <c r="E306" s="18">
        <v>-7.0000000000000001E-3</v>
      </c>
      <c r="F306" s="18">
        <v>9.93</v>
      </c>
      <c r="G306" s="18">
        <v>10.050000000000001</v>
      </c>
      <c r="H306" s="18">
        <v>9.99</v>
      </c>
      <c r="I306" s="18">
        <v>48818684</v>
      </c>
      <c r="J306" s="18">
        <v>4888678</v>
      </c>
    </row>
    <row r="307" spans="1:10" x14ac:dyDescent="0.3">
      <c r="A307" s="18" t="s">
        <v>339</v>
      </c>
      <c r="B307" s="18">
        <v>79.5</v>
      </c>
      <c r="C307" s="18" t="s">
        <v>1312</v>
      </c>
      <c r="D307" s="18" t="s">
        <v>1313</v>
      </c>
      <c r="E307" s="18">
        <v>-2.0899999999999998E-2</v>
      </c>
      <c r="F307" s="18">
        <v>79.5</v>
      </c>
      <c r="G307" s="18">
        <v>81.95</v>
      </c>
      <c r="H307" s="18">
        <v>80.599999999999994</v>
      </c>
      <c r="I307" s="18">
        <v>20869252</v>
      </c>
      <c r="J307" s="18">
        <v>258935</v>
      </c>
    </row>
    <row r="308" spans="1:10" x14ac:dyDescent="0.3">
      <c r="A308" s="18" t="s">
        <v>340</v>
      </c>
      <c r="B308" s="18">
        <v>1.67</v>
      </c>
      <c r="C308" s="18" t="s">
        <v>1265</v>
      </c>
      <c r="D308" s="18" t="s">
        <v>809</v>
      </c>
      <c r="E308" s="18">
        <v>-1.7600000000000001E-2</v>
      </c>
      <c r="F308" s="18">
        <v>1.66</v>
      </c>
      <c r="G308" s="18">
        <v>1.71</v>
      </c>
      <c r="H308" s="18">
        <v>1.68</v>
      </c>
      <c r="I308" s="18">
        <v>162707197</v>
      </c>
      <c r="J308" s="18">
        <v>97142638</v>
      </c>
    </row>
    <row r="309" spans="1:10" x14ac:dyDescent="0.3">
      <c r="A309" s="18" t="s">
        <v>341</v>
      </c>
      <c r="B309" s="18">
        <v>19.93</v>
      </c>
      <c r="C309" s="18" t="s">
        <v>1314</v>
      </c>
      <c r="D309" s="18" t="s">
        <v>1315</v>
      </c>
      <c r="E309" s="18">
        <v>3.5299999999999998E-2</v>
      </c>
      <c r="F309" s="18">
        <v>19.2</v>
      </c>
      <c r="G309" s="18">
        <v>20.38</v>
      </c>
      <c r="H309" s="18">
        <v>19.989999999999998</v>
      </c>
      <c r="I309" s="18">
        <v>146684889</v>
      </c>
      <c r="J309" s="18">
        <v>7336698</v>
      </c>
    </row>
    <row r="310" spans="1:10" x14ac:dyDescent="0.3">
      <c r="A310" s="18" t="s">
        <v>342</v>
      </c>
      <c r="B310" s="18">
        <v>63.8</v>
      </c>
      <c r="C310" s="18" t="s">
        <v>684</v>
      </c>
      <c r="D310" s="18" t="s">
        <v>1316</v>
      </c>
      <c r="E310" s="18">
        <v>1.03E-2</v>
      </c>
      <c r="F310" s="18">
        <v>62.2</v>
      </c>
      <c r="G310" s="18">
        <v>64.599999999999994</v>
      </c>
      <c r="H310" s="18">
        <v>63.49</v>
      </c>
      <c r="I310" s="18">
        <v>46393018</v>
      </c>
      <c r="J310" s="18">
        <v>730666</v>
      </c>
    </row>
    <row r="311" spans="1:10" x14ac:dyDescent="0.3">
      <c r="A311" s="18" t="s">
        <v>343</v>
      </c>
      <c r="B311" s="18">
        <v>13.35</v>
      </c>
      <c r="C311" s="18" t="s">
        <v>1317</v>
      </c>
      <c r="D311" s="18" t="s">
        <v>773</v>
      </c>
      <c r="E311" s="18">
        <v>-8.2000000000000007E-3</v>
      </c>
      <c r="F311" s="18">
        <v>12.87</v>
      </c>
      <c r="G311" s="18">
        <v>13.5</v>
      </c>
      <c r="H311" s="18">
        <v>13.18</v>
      </c>
      <c r="I311" s="18">
        <v>126719886</v>
      </c>
      <c r="J311" s="18">
        <v>9611653</v>
      </c>
    </row>
    <row r="312" spans="1:10" x14ac:dyDescent="0.3">
      <c r="A312" s="18" t="s">
        <v>344</v>
      </c>
      <c r="B312" s="18">
        <v>141.69999999999999</v>
      </c>
      <c r="C312" s="18" t="s">
        <v>1318</v>
      </c>
      <c r="D312" s="18" t="s">
        <v>1319</v>
      </c>
      <c r="E312" s="18">
        <v>-9.1000000000000004E-3</v>
      </c>
      <c r="F312" s="18">
        <v>141.5</v>
      </c>
      <c r="G312" s="18">
        <v>144.30000000000001</v>
      </c>
      <c r="H312" s="18">
        <v>142.78</v>
      </c>
      <c r="I312" s="18">
        <v>3214910203</v>
      </c>
      <c r="J312" s="18">
        <v>22515996</v>
      </c>
    </row>
    <row r="313" spans="1:10" x14ac:dyDescent="0.3">
      <c r="A313" s="18" t="s">
        <v>345</v>
      </c>
      <c r="B313" s="18">
        <v>718.5</v>
      </c>
      <c r="C313" s="18" t="s">
        <v>1320</v>
      </c>
      <c r="D313" s="18" t="s">
        <v>1321</v>
      </c>
      <c r="E313" s="18">
        <v>-3.5000000000000001E-3</v>
      </c>
      <c r="F313" s="18">
        <v>699.5</v>
      </c>
      <c r="G313" s="18">
        <v>718.5</v>
      </c>
      <c r="H313" s="18">
        <v>710.7</v>
      </c>
      <c r="I313" s="18">
        <v>2690725</v>
      </c>
      <c r="J313" s="18">
        <v>3786</v>
      </c>
    </row>
    <row r="314" spans="1:10" x14ac:dyDescent="0.3">
      <c r="A314" s="18" t="s">
        <v>346</v>
      </c>
      <c r="B314" s="18">
        <v>1.93</v>
      </c>
      <c r="C314" s="18" t="s">
        <v>749</v>
      </c>
      <c r="D314" s="18" t="s">
        <v>800</v>
      </c>
      <c r="E314" s="18">
        <v>-5.1999999999999998E-3</v>
      </c>
      <c r="F314" s="18">
        <v>1.93</v>
      </c>
      <c r="G314" s="18">
        <v>1.93</v>
      </c>
      <c r="H314" s="18">
        <v>1.93</v>
      </c>
      <c r="I314" s="18">
        <v>975684</v>
      </c>
      <c r="J314" s="18">
        <v>505536</v>
      </c>
    </row>
    <row r="315" spans="1:10" x14ac:dyDescent="0.3">
      <c r="A315" s="18" t="s">
        <v>347</v>
      </c>
      <c r="B315" s="18">
        <v>14.11</v>
      </c>
      <c r="C315" s="18" t="s">
        <v>828</v>
      </c>
      <c r="D315" s="18" t="s">
        <v>1322</v>
      </c>
      <c r="E315" s="18">
        <v>-1.0500000000000001E-2</v>
      </c>
      <c r="F315" s="18">
        <v>14.04</v>
      </c>
      <c r="G315" s="18">
        <v>14.42</v>
      </c>
      <c r="H315" s="18">
        <v>14.19</v>
      </c>
      <c r="I315" s="18">
        <v>46923172</v>
      </c>
      <c r="J315" s="18">
        <v>3305894</v>
      </c>
    </row>
    <row r="316" spans="1:10" x14ac:dyDescent="0.3">
      <c r="A316" s="18" t="s">
        <v>348</v>
      </c>
      <c r="B316" s="18">
        <v>90.4</v>
      </c>
      <c r="C316" s="18" t="s">
        <v>1323</v>
      </c>
      <c r="D316" s="18" t="s">
        <v>812</v>
      </c>
      <c r="E316" s="18">
        <v>-3.1600000000000003E-2</v>
      </c>
      <c r="F316" s="18">
        <v>90.25</v>
      </c>
      <c r="G316" s="18">
        <v>93.65</v>
      </c>
      <c r="H316" s="18">
        <v>91.32</v>
      </c>
      <c r="I316" s="18">
        <v>23761632</v>
      </c>
      <c r="J316" s="18">
        <v>260216</v>
      </c>
    </row>
    <row r="317" spans="1:10" x14ac:dyDescent="0.3">
      <c r="A317" s="18" t="s">
        <v>349</v>
      </c>
      <c r="B317" s="18">
        <v>3.64</v>
      </c>
      <c r="C317" s="18" t="s">
        <v>1213</v>
      </c>
      <c r="D317" s="18" t="s">
        <v>1247</v>
      </c>
      <c r="E317" s="18">
        <v>1.6799999999999999E-2</v>
      </c>
      <c r="F317" s="18">
        <v>3.52</v>
      </c>
      <c r="G317" s="18">
        <v>3.64</v>
      </c>
      <c r="H317" s="18">
        <v>3.58</v>
      </c>
      <c r="I317" s="18">
        <v>18018673</v>
      </c>
      <c r="J317" s="18">
        <v>5031600</v>
      </c>
    </row>
    <row r="318" spans="1:10" x14ac:dyDescent="0.3">
      <c r="A318" s="18" t="s">
        <v>350</v>
      </c>
      <c r="B318" s="18">
        <v>11.93</v>
      </c>
      <c r="C318" s="18" t="s">
        <v>1324</v>
      </c>
      <c r="D318" s="18" t="s">
        <v>1325</v>
      </c>
      <c r="E318" s="18">
        <v>-3.1699999999999999E-2</v>
      </c>
      <c r="F318" s="18">
        <v>11.92</v>
      </c>
      <c r="G318" s="18">
        <v>12.46</v>
      </c>
      <c r="H318" s="18">
        <v>12.09</v>
      </c>
      <c r="I318" s="18">
        <v>29935272</v>
      </c>
      <c r="J318" s="18">
        <v>2476852</v>
      </c>
    </row>
    <row r="319" spans="1:10" x14ac:dyDescent="0.3">
      <c r="A319" s="18" t="s">
        <v>351</v>
      </c>
      <c r="B319" s="18">
        <v>4.4400000000000004</v>
      </c>
      <c r="C319" s="18" t="s">
        <v>1326</v>
      </c>
      <c r="D319" s="18" t="s">
        <v>1112</v>
      </c>
      <c r="E319" s="18">
        <v>-1.55E-2</v>
      </c>
      <c r="F319" s="18">
        <v>4.42</v>
      </c>
      <c r="G319" s="18">
        <v>4.5599999999999996</v>
      </c>
      <c r="H319" s="18">
        <v>4.47</v>
      </c>
      <c r="I319" s="18">
        <v>49357180</v>
      </c>
      <c r="J319" s="18">
        <v>11034611</v>
      </c>
    </row>
    <row r="320" spans="1:10" x14ac:dyDescent="0.3">
      <c r="A320" s="18" t="s">
        <v>352</v>
      </c>
      <c r="B320" s="18">
        <v>28.06</v>
      </c>
      <c r="C320" s="18" t="s">
        <v>739</v>
      </c>
      <c r="D320" s="18" t="s">
        <v>697</v>
      </c>
      <c r="E320" s="18">
        <v>1.2999999999999999E-2</v>
      </c>
      <c r="F320" s="18">
        <v>27.54</v>
      </c>
      <c r="G320" s="18">
        <v>28.56</v>
      </c>
      <c r="H320" s="18">
        <v>27.8</v>
      </c>
      <c r="I320" s="18">
        <v>41087499</v>
      </c>
      <c r="J320" s="18">
        <v>1477786</v>
      </c>
    </row>
    <row r="321" spans="1:10" x14ac:dyDescent="0.3">
      <c r="A321" s="18" t="s">
        <v>353</v>
      </c>
      <c r="B321" s="18">
        <v>22.22</v>
      </c>
      <c r="C321" s="18" t="s">
        <v>1327</v>
      </c>
      <c r="D321" s="18" t="s">
        <v>1328</v>
      </c>
      <c r="E321" s="18">
        <v>-3.0499999999999999E-2</v>
      </c>
      <c r="F321" s="18">
        <v>21.92</v>
      </c>
      <c r="G321" s="18">
        <v>23.1</v>
      </c>
      <c r="H321" s="18">
        <v>22.41</v>
      </c>
      <c r="I321" s="18">
        <v>18590963</v>
      </c>
      <c r="J321" s="18">
        <v>829740</v>
      </c>
    </row>
    <row r="322" spans="1:10" x14ac:dyDescent="0.3">
      <c r="A322" s="18" t="s">
        <v>354</v>
      </c>
      <c r="B322" s="18">
        <v>6.61</v>
      </c>
      <c r="C322" s="18" t="s">
        <v>1329</v>
      </c>
      <c r="D322" s="18" t="s">
        <v>1330</v>
      </c>
      <c r="E322" s="18">
        <v>-1.49E-2</v>
      </c>
      <c r="F322" s="18">
        <v>6.61</v>
      </c>
      <c r="G322" s="18">
        <v>6.71</v>
      </c>
      <c r="H322" s="18">
        <v>6.66</v>
      </c>
      <c r="I322" s="18">
        <v>837805</v>
      </c>
      <c r="J322" s="18">
        <v>125876</v>
      </c>
    </row>
    <row r="323" spans="1:10" x14ac:dyDescent="0.3">
      <c r="A323" s="18" t="s">
        <v>355</v>
      </c>
      <c r="B323" s="18">
        <v>56.05</v>
      </c>
      <c r="C323" s="18" t="s">
        <v>987</v>
      </c>
      <c r="D323" s="18" t="s">
        <v>988</v>
      </c>
      <c r="E323" s="18">
        <v>4.8599999999999997E-2</v>
      </c>
      <c r="F323" s="18">
        <v>50.9</v>
      </c>
      <c r="G323" s="18">
        <v>58.7</v>
      </c>
      <c r="H323" s="18">
        <v>55.33</v>
      </c>
      <c r="I323" s="18">
        <v>253876357</v>
      </c>
      <c r="J323" s="18">
        <v>4588243</v>
      </c>
    </row>
    <row r="324" spans="1:10" x14ac:dyDescent="0.3">
      <c r="A324" s="18" t="s">
        <v>356</v>
      </c>
      <c r="B324" s="18">
        <v>27.4</v>
      </c>
      <c r="C324" s="18" t="s">
        <v>1331</v>
      </c>
      <c r="D324" s="18" t="s">
        <v>880</v>
      </c>
      <c r="E324" s="18">
        <v>-1.5100000000000001E-2</v>
      </c>
      <c r="F324" s="18">
        <v>27.4</v>
      </c>
      <c r="G324" s="18">
        <v>27.96</v>
      </c>
      <c r="H324" s="18">
        <v>27.64</v>
      </c>
      <c r="I324" s="18">
        <v>31469349</v>
      </c>
      <c r="J324" s="18">
        <v>1138378</v>
      </c>
    </row>
    <row r="325" spans="1:10" x14ac:dyDescent="0.3">
      <c r="A325" s="18" t="s">
        <v>357</v>
      </c>
      <c r="B325" s="18">
        <v>5.18</v>
      </c>
      <c r="C325" s="18" t="s">
        <v>1332</v>
      </c>
      <c r="D325" s="18" t="s">
        <v>219</v>
      </c>
      <c r="E325" s="18">
        <v>-9.5999999999999992E-3</v>
      </c>
      <c r="F325" s="18">
        <v>5.0999999999999996</v>
      </c>
      <c r="G325" s="18">
        <v>5.37</v>
      </c>
      <c r="H325" s="18">
        <v>5.2</v>
      </c>
      <c r="I325" s="18">
        <v>14682556</v>
      </c>
      <c r="J325" s="18">
        <v>2822965</v>
      </c>
    </row>
    <row r="326" spans="1:10" x14ac:dyDescent="0.3">
      <c r="A326" s="18" t="s">
        <v>358</v>
      </c>
      <c r="B326" s="18">
        <v>62.55</v>
      </c>
      <c r="C326" s="18" t="s">
        <v>1333</v>
      </c>
      <c r="D326" s="18" t="s">
        <v>1334</v>
      </c>
      <c r="E326" s="18">
        <v>-3.7699999999999997E-2</v>
      </c>
      <c r="F326" s="18">
        <v>62.4</v>
      </c>
      <c r="G326" s="18">
        <v>66.45</v>
      </c>
      <c r="H326" s="18">
        <v>64.349999999999994</v>
      </c>
      <c r="I326" s="18">
        <v>290327478</v>
      </c>
      <c r="J326" s="18">
        <v>4511883</v>
      </c>
    </row>
    <row r="327" spans="1:10" x14ac:dyDescent="0.3">
      <c r="A327" s="18" t="s">
        <v>359</v>
      </c>
      <c r="B327" s="18">
        <v>14.3</v>
      </c>
      <c r="C327" s="18" t="s">
        <v>817</v>
      </c>
      <c r="D327" s="18" t="s">
        <v>1335</v>
      </c>
      <c r="E327" s="18">
        <v>0</v>
      </c>
      <c r="F327" s="18">
        <v>14.07</v>
      </c>
      <c r="G327" s="18">
        <v>14.43</v>
      </c>
      <c r="H327" s="18">
        <v>14.25</v>
      </c>
      <c r="I327" s="18">
        <v>11764639</v>
      </c>
      <c r="J327" s="18">
        <v>825872</v>
      </c>
    </row>
    <row r="328" spans="1:10" x14ac:dyDescent="0.3">
      <c r="A328" s="18" t="s">
        <v>360</v>
      </c>
      <c r="B328" s="18">
        <v>10.63</v>
      </c>
      <c r="C328" s="18" t="s">
        <v>1336</v>
      </c>
      <c r="D328" s="18" t="s">
        <v>883</v>
      </c>
      <c r="E328" s="18">
        <v>-3.1E-2</v>
      </c>
      <c r="F328" s="18">
        <v>10.63</v>
      </c>
      <c r="G328" s="18">
        <v>11.08</v>
      </c>
      <c r="H328" s="18">
        <v>10.81</v>
      </c>
      <c r="I328" s="18">
        <v>18703745</v>
      </c>
      <c r="J328" s="18">
        <v>1729617</v>
      </c>
    </row>
    <row r="329" spans="1:10" x14ac:dyDescent="0.3">
      <c r="A329" s="18" t="s">
        <v>361</v>
      </c>
      <c r="B329" s="18">
        <v>12.14</v>
      </c>
      <c r="C329" s="18" t="s">
        <v>1337</v>
      </c>
      <c r="D329" s="18" t="s">
        <v>1338</v>
      </c>
      <c r="E329" s="18">
        <v>-9.8100000000000007E-2</v>
      </c>
      <c r="F329" s="18">
        <v>12.12</v>
      </c>
      <c r="G329" s="18">
        <v>13.5</v>
      </c>
      <c r="H329" s="18">
        <v>12.5</v>
      </c>
      <c r="I329" s="18">
        <v>126350845</v>
      </c>
      <c r="J329" s="18">
        <v>10104443</v>
      </c>
    </row>
    <row r="330" spans="1:10" x14ac:dyDescent="0.3">
      <c r="A330" s="18" t="s">
        <v>362</v>
      </c>
      <c r="B330" s="18">
        <v>32.78</v>
      </c>
      <c r="C330" s="18" t="s">
        <v>1339</v>
      </c>
      <c r="D330" s="18" t="s">
        <v>1340</v>
      </c>
      <c r="E330" s="18">
        <v>-7.3000000000000001E-3</v>
      </c>
      <c r="F330" s="18">
        <v>32.76</v>
      </c>
      <c r="G330" s="18">
        <v>33.4</v>
      </c>
      <c r="H330" s="18">
        <v>32.979999999999997</v>
      </c>
      <c r="I330" s="18">
        <v>15891999</v>
      </c>
      <c r="J330" s="18">
        <v>481828</v>
      </c>
    </row>
    <row r="331" spans="1:10" x14ac:dyDescent="0.3">
      <c r="A331" s="18" t="s">
        <v>363</v>
      </c>
      <c r="B331" s="18">
        <v>25.26</v>
      </c>
      <c r="C331" s="18" t="s">
        <v>1341</v>
      </c>
      <c r="D331" s="18" t="s">
        <v>1342</v>
      </c>
      <c r="E331" s="18">
        <v>1.5299999999999999E-2</v>
      </c>
      <c r="F331" s="18">
        <v>24.58</v>
      </c>
      <c r="G331" s="18">
        <v>26.78</v>
      </c>
      <c r="H331" s="18">
        <v>25.24</v>
      </c>
      <c r="I331" s="18">
        <v>632766811</v>
      </c>
      <c r="J331" s="18">
        <v>25071954</v>
      </c>
    </row>
    <row r="332" spans="1:10" x14ac:dyDescent="0.3">
      <c r="A332" s="18" t="s">
        <v>364</v>
      </c>
      <c r="B332" s="18">
        <v>5300</v>
      </c>
      <c r="C332" s="18" t="s">
        <v>1343</v>
      </c>
      <c r="D332" s="18" t="s">
        <v>1344</v>
      </c>
      <c r="E332" s="18">
        <v>1.5800000000000002E-2</v>
      </c>
      <c r="F332" s="18">
        <v>5197.5</v>
      </c>
      <c r="G332" s="18">
        <v>5415</v>
      </c>
      <c r="H332" s="18">
        <v>5303.57</v>
      </c>
      <c r="I332" s="18">
        <v>85960285</v>
      </c>
      <c r="J332" s="18">
        <v>16208</v>
      </c>
    </row>
    <row r="333" spans="1:10" x14ac:dyDescent="0.3">
      <c r="A333" s="18" t="s">
        <v>365</v>
      </c>
      <c r="B333" s="18">
        <v>4.83</v>
      </c>
      <c r="C333" s="18" t="s">
        <v>1345</v>
      </c>
      <c r="D333" s="18" t="s">
        <v>1346</v>
      </c>
      <c r="E333" s="18">
        <v>-2.0299999999999999E-2</v>
      </c>
      <c r="F333" s="18">
        <v>4.82</v>
      </c>
      <c r="G333" s="18">
        <v>4.9400000000000004</v>
      </c>
      <c r="H333" s="18">
        <v>4.88</v>
      </c>
      <c r="I333" s="18">
        <v>20318328</v>
      </c>
      <c r="J333" s="18">
        <v>4166652</v>
      </c>
    </row>
    <row r="334" spans="1:10" x14ac:dyDescent="0.3">
      <c r="A334" s="18" t="s">
        <v>367</v>
      </c>
      <c r="B334" s="18">
        <v>54.65</v>
      </c>
      <c r="C334" s="18" t="s">
        <v>1347</v>
      </c>
      <c r="D334" s="18" t="s">
        <v>1348</v>
      </c>
      <c r="E334" s="18">
        <v>-1.89E-2</v>
      </c>
      <c r="F334" s="18">
        <v>54.65</v>
      </c>
      <c r="G334" s="18">
        <v>55.7</v>
      </c>
      <c r="H334" s="18">
        <v>55.16</v>
      </c>
      <c r="I334" s="18">
        <v>16322957</v>
      </c>
      <c r="J334" s="18">
        <v>295907</v>
      </c>
    </row>
    <row r="335" spans="1:10" x14ac:dyDescent="0.3">
      <c r="A335" s="18" t="s">
        <v>368</v>
      </c>
      <c r="B335" s="18">
        <v>14.1</v>
      </c>
      <c r="C335" s="18" t="s">
        <v>810</v>
      </c>
      <c r="D335" s="18" t="s">
        <v>811</v>
      </c>
      <c r="E335" s="18">
        <v>-2.1499999999999998E-2</v>
      </c>
      <c r="F335" s="18">
        <v>14.08</v>
      </c>
      <c r="G335" s="18">
        <v>14.44</v>
      </c>
      <c r="H335" s="18">
        <v>14.19</v>
      </c>
      <c r="I335" s="18">
        <v>33572947</v>
      </c>
      <c r="J335" s="18">
        <v>2366053</v>
      </c>
    </row>
    <row r="336" spans="1:10" x14ac:dyDescent="0.3">
      <c r="A336" s="18" t="s">
        <v>369</v>
      </c>
      <c r="B336" s="18">
        <v>86.5</v>
      </c>
      <c r="C336" s="18" t="s">
        <v>1349</v>
      </c>
      <c r="D336" s="18" t="s">
        <v>1350</v>
      </c>
      <c r="E336" s="18">
        <v>2.3099999999999999E-2</v>
      </c>
      <c r="F336" s="18">
        <v>83.9</v>
      </c>
      <c r="G336" s="18">
        <v>86.95</v>
      </c>
      <c r="H336" s="18">
        <v>85.53</v>
      </c>
      <c r="I336" s="18">
        <v>451393237</v>
      </c>
      <c r="J336" s="18">
        <v>5277515</v>
      </c>
    </row>
    <row r="337" spans="1:10" x14ac:dyDescent="0.3">
      <c r="A337" s="18" t="s">
        <v>370</v>
      </c>
      <c r="B337" s="18">
        <v>23.16</v>
      </c>
      <c r="C337" s="18" t="s">
        <v>1351</v>
      </c>
      <c r="D337" s="18" t="s">
        <v>1352</v>
      </c>
      <c r="E337" s="18">
        <v>-1.11E-2</v>
      </c>
      <c r="F337" s="18">
        <v>23.06</v>
      </c>
      <c r="G337" s="18">
        <v>23.62</v>
      </c>
      <c r="H337" s="18">
        <v>23.37</v>
      </c>
      <c r="I337" s="18">
        <v>1155662019</v>
      </c>
      <c r="J337" s="18">
        <v>49457404</v>
      </c>
    </row>
    <row r="338" spans="1:10" x14ac:dyDescent="0.3">
      <c r="A338" s="18" t="s">
        <v>371</v>
      </c>
      <c r="B338" s="18">
        <v>38.9</v>
      </c>
      <c r="C338" s="18" t="s">
        <v>751</v>
      </c>
      <c r="D338" s="18" t="s">
        <v>1353</v>
      </c>
      <c r="E338" s="18">
        <v>-1.52E-2</v>
      </c>
      <c r="F338" s="18">
        <v>38.14</v>
      </c>
      <c r="G338" s="18">
        <v>39.520000000000003</v>
      </c>
      <c r="H338" s="18">
        <v>38.93</v>
      </c>
      <c r="I338" s="18">
        <v>257341557</v>
      </c>
      <c r="J338" s="18">
        <v>6610600</v>
      </c>
    </row>
    <row r="339" spans="1:10" x14ac:dyDescent="0.3">
      <c r="A339" s="18" t="s">
        <v>372</v>
      </c>
      <c r="B339" s="18">
        <v>21.46</v>
      </c>
      <c r="C339" s="18" t="s">
        <v>1354</v>
      </c>
      <c r="D339" s="18" t="s">
        <v>1355</v>
      </c>
      <c r="E339" s="18">
        <v>-1.2E-2</v>
      </c>
      <c r="F339" s="18">
        <v>21.38</v>
      </c>
      <c r="G339" s="18">
        <v>21.92</v>
      </c>
      <c r="H339" s="18">
        <v>21.7</v>
      </c>
      <c r="I339" s="18">
        <v>33087826</v>
      </c>
      <c r="J339" s="18">
        <v>1524702</v>
      </c>
    </row>
    <row r="340" spans="1:10" x14ac:dyDescent="0.3">
      <c r="A340" s="18" t="s">
        <v>373</v>
      </c>
      <c r="B340" s="18">
        <v>22.04</v>
      </c>
      <c r="C340" s="18" t="s">
        <v>1356</v>
      </c>
      <c r="D340" s="18" t="s">
        <v>1357</v>
      </c>
      <c r="E340" s="18">
        <v>-2.3E-2</v>
      </c>
      <c r="F340" s="18">
        <v>21.98</v>
      </c>
      <c r="G340" s="18">
        <v>22.52</v>
      </c>
      <c r="H340" s="18">
        <v>22.2</v>
      </c>
      <c r="I340" s="18">
        <v>824964478</v>
      </c>
      <c r="J340" s="18">
        <v>37154370</v>
      </c>
    </row>
    <row r="341" spans="1:10" x14ac:dyDescent="0.3">
      <c r="A341" s="18" t="s">
        <v>374</v>
      </c>
      <c r="B341" s="18">
        <v>10.050000000000001</v>
      </c>
      <c r="C341" s="18" t="s">
        <v>89</v>
      </c>
      <c r="D341" s="18" t="s">
        <v>779</v>
      </c>
      <c r="E341" s="18">
        <v>-9.9500000000000005E-2</v>
      </c>
      <c r="F341" s="18">
        <v>10.050000000000001</v>
      </c>
      <c r="G341" s="18">
        <v>11.4</v>
      </c>
      <c r="H341" s="18">
        <v>10.67</v>
      </c>
      <c r="I341" s="18">
        <v>108422151</v>
      </c>
      <c r="J341" s="18">
        <v>10160023</v>
      </c>
    </row>
    <row r="342" spans="1:10" x14ac:dyDescent="0.3">
      <c r="A342" s="18" t="s">
        <v>375</v>
      </c>
      <c r="B342" s="18">
        <v>15.81</v>
      </c>
      <c r="C342" s="18" t="s">
        <v>1358</v>
      </c>
      <c r="D342" s="18" t="s">
        <v>729</v>
      </c>
      <c r="E342" s="18">
        <v>-3.4200000000000001E-2</v>
      </c>
      <c r="F342" s="18">
        <v>15.7</v>
      </c>
      <c r="G342" s="18">
        <v>16.46</v>
      </c>
      <c r="H342" s="18">
        <v>15.96</v>
      </c>
      <c r="I342" s="18">
        <v>6447928</v>
      </c>
      <c r="J342" s="18">
        <v>404016</v>
      </c>
    </row>
    <row r="343" spans="1:10" x14ac:dyDescent="0.3">
      <c r="A343" s="18" t="s">
        <v>376</v>
      </c>
      <c r="B343" s="18">
        <v>6.43</v>
      </c>
      <c r="C343" s="18" t="s">
        <v>765</v>
      </c>
      <c r="D343" s="18" t="s">
        <v>731</v>
      </c>
      <c r="E343" s="18">
        <v>-1.38E-2</v>
      </c>
      <c r="F343" s="18">
        <v>6.41</v>
      </c>
      <c r="G343" s="18">
        <v>6.54</v>
      </c>
      <c r="H343" s="18">
        <v>6.48</v>
      </c>
      <c r="I343" s="18">
        <v>3907648</v>
      </c>
      <c r="J343" s="18">
        <v>603180</v>
      </c>
    </row>
    <row r="344" spans="1:10" x14ac:dyDescent="0.3">
      <c r="A344" s="18" t="s">
        <v>377</v>
      </c>
      <c r="B344" s="18">
        <v>6.25</v>
      </c>
      <c r="C344" s="18" t="s">
        <v>890</v>
      </c>
      <c r="D344" s="18" t="s">
        <v>1359</v>
      </c>
      <c r="E344" s="18">
        <v>-3.6999999999999998E-2</v>
      </c>
      <c r="F344" s="18">
        <v>6.24</v>
      </c>
      <c r="G344" s="18">
        <v>6.5</v>
      </c>
      <c r="H344" s="18">
        <v>6.33</v>
      </c>
      <c r="I344" s="18">
        <v>35331993</v>
      </c>
      <c r="J344" s="18">
        <v>5580417</v>
      </c>
    </row>
    <row r="345" spans="1:10" x14ac:dyDescent="0.3">
      <c r="A345" s="18" t="s">
        <v>378</v>
      </c>
      <c r="B345" s="18">
        <v>24.3</v>
      </c>
      <c r="C345" s="18" t="s">
        <v>1360</v>
      </c>
      <c r="D345" s="18" t="s">
        <v>788</v>
      </c>
      <c r="E345" s="18">
        <v>-1.14E-2</v>
      </c>
      <c r="F345" s="18">
        <v>23.5</v>
      </c>
      <c r="G345" s="18">
        <v>24.66</v>
      </c>
      <c r="H345" s="18">
        <v>24.23</v>
      </c>
      <c r="I345" s="18">
        <v>9631683</v>
      </c>
      <c r="J345" s="18">
        <v>397465</v>
      </c>
    </row>
    <row r="346" spans="1:10" x14ac:dyDescent="0.3">
      <c r="A346" s="18" t="s">
        <v>379</v>
      </c>
      <c r="B346" s="18">
        <v>1.95</v>
      </c>
      <c r="C346" s="18" t="s">
        <v>800</v>
      </c>
      <c r="D346" s="18" t="s">
        <v>820</v>
      </c>
      <c r="E346" s="18">
        <v>-1.52E-2</v>
      </c>
      <c r="F346" s="18">
        <v>1.92</v>
      </c>
      <c r="G346" s="18">
        <v>2</v>
      </c>
      <c r="H346" s="18">
        <v>1.96</v>
      </c>
      <c r="I346" s="18">
        <v>14680295</v>
      </c>
      <c r="J346" s="18">
        <v>7483520</v>
      </c>
    </row>
    <row r="347" spans="1:10" x14ac:dyDescent="0.3">
      <c r="A347" s="18" t="s">
        <v>380</v>
      </c>
      <c r="B347" s="18">
        <v>3590</v>
      </c>
      <c r="C347" s="18" t="s">
        <v>1361</v>
      </c>
      <c r="D347" s="18" t="s">
        <v>1362</v>
      </c>
      <c r="E347" s="18">
        <v>-5.5300000000000002E-2</v>
      </c>
      <c r="F347" s="18">
        <v>3590</v>
      </c>
      <c r="G347" s="18">
        <v>3762.5</v>
      </c>
      <c r="H347" s="18">
        <v>3625.9</v>
      </c>
      <c r="I347" s="18">
        <v>3390215</v>
      </c>
      <c r="J347" s="18">
        <v>935</v>
      </c>
    </row>
    <row r="348" spans="1:10" x14ac:dyDescent="0.3">
      <c r="A348" s="18" t="s">
        <v>381</v>
      </c>
      <c r="B348" s="18">
        <v>97.95</v>
      </c>
      <c r="C348" s="18" t="s">
        <v>1363</v>
      </c>
      <c r="D348" s="18" t="s">
        <v>1364</v>
      </c>
      <c r="E348" s="18">
        <v>-3.5999999999999999E-3</v>
      </c>
      <c r="F348" s="18">
        <v>96.5</v>
      </c>
      <c r="G348" s="18">
        <v>101.8</v>
      </c>
      <c r="H348" s="18">
        <v>98.39</v>
      </c>
      <c r="I348" s="18">
        <v>1626793057</v>
      </c>
      <c r="J348" s="18">
        <v>16706611</v>
      </c>
    </row>
    <row r="349" spans="1:10" x14ac:dyDescent="0.3">
      <c r="A349" s="18" t="s">
        <v>382</v>
      </c>
      <c r="B349" s="18">
        <v>56.6</v>
      </c>
      <c r="C349" s="18" t="s">
        <v>1365</v>
      </c>
      <c r="D349" s="18" t="s">
        <v>1366</v>
      </c>
      <c r="E349" s="18">
        <v>-3.5000000000000001E-3</v>
      </c>
      <c r="F349" s="18">
        <v>55.1</v>
      </c>
      <c r="G349" s="18">
        <v>61.3</v>
      </c>
      <c r="H349" s="18">
        <v>59.12</v>
      </c>
      <c r="I349" s="18">
        <v>115188616</v>
      </c>
      <c r="J349" s="18">
        <v>1948425</v>
      </c>
    </row>
    <row r="350" spans="1:10" x14ac:dyDescent="0.3">
      <c r="A350" s="18" t="s">
        <v>383</v>
      </c>
      <c r="B350" s="18">
        <v>78.900000000000006</v>
      </c>
      <c r="C350" s="18" t="s">
        <v>689</v>
      </c>
      <c r="D350" s="18" t="s">
        <v>1367</v>
      </c>
      <c r="E350" s="18">
        <v>-1.44E-2</v>
      </c>
      <c r="F350" s="18">
        <v>78.5</v>
      </c>
      <c r="G350" s="18">
        <v>80.45</v>
      </c>
      <c r="H350" s="18">
        <v>79.150000000000006</v>
      </c>
      <c r="I350" s="18">
        <v>26583451</v>
      </c>
      <c r="J350" s="18">
        <v>335855</v>
      </c>
    </row>
    <row r="351" spans="1:10" x14ac:dyDescent="0.3">
      <c r="A351" s="18" t="s">
        <v>384</v>
      </c>
      <c r="B351" s="18">
        <v>90</v>
      </c>
      <c r="C351" s="18" t="s">
        <v>860</v>
      </c>
      <c r="D351" s="18" t="s">
        <v>1368</v>
      </c>
      <c r="E351" s="18">
        <v>-5.2600000000000001E-2</v>
      </c>
      <c r="F351" s="18">
        <v>88.05</v>
      </c>
      <c r="G351" s="18">
        <v>96</v>
      </c>
      <c r="H351" s="18">
        <v>91.98</v>
      </c>
      <c r="I351" s="18">
        <v>8019745</v>
      </c>
      <c r="J351" s="18">
        <v>87188</v>
      </c>
    </row>
    <row r="352" spans="1:10" x14ac:dyDescent="0.3">
      <c r="A352" s="18" t="s">
        <v>385</v>
      </c>
      <c r="B352" s="18">
        <v>49</v>
      </c>
      <c r="C352" s="18" t="s">
        <v>822</v>
      </c>
      <c r="D352" s="18" t="s">
        <v>89</v>
      </c>
      <c r="E352" s="18">
        <v>9.9599999999999994E-2</v>
      </c>
      <c r="F352" s="18">
        <v>44.9</v>
      </c>
      <c r="G352" s="18">
        <v>49</v>
      </c>
      <c r="H352" s="18">
        <v>48.03</v>
      </c>
      <c r="I352" s="18">
        <v>552788260</v>
      </c>
      <c r="J352" s="18">
        <v>11606472</v>
      </c>
    </row>
    <row r="353" spans="1:10" x14ac:dyDescent="0.3">
      <c r="A353" s="18" t="s">
        <v>386</v>
      </c>
      <c r="B353" s="18">
        <v>9.75</v>
      </c>
      <c r="C353" s="18" t="s">
        <v>1369</v>
      </c>
      <c r="D353" s="18" t="s">
        <v>1370</v>
      </c>
      <c r="E353" s="18">
        <v>-5.0599999999999999E-2</v>
      </c>
      <c r="F353" s="18">
        <v>9.6</v>
      </c>
      <c r="G353" s="18">
        <v>10.41</v>
      </c>
      <c r="H353" s="18">
        <v>9.9</v>
      </c>
      <c r="I353" s="18">
        <v>182783712</v>
      </c>
      <c r="J353" s="18">
        <v>18463608</v>
      </c>
    </row>
    <row r="354" spans="1:10" x14ac:dyDescent="0.3">
      <c r="A354" s="18" t="s">
        <v>387</v>
      </c>
      <c r="B354" s="18">
        <v>19.72</v>
      </c>
      <c r="C354" s="18" t="s">
        <v>1371</v>
      </c>
      <c r="D354" s="18" t="s">
        <v>712</v>
      </c>
      <c r="E354" s="18">
        <v>-1.35E-2</v>
      </c>
      <c r="F354" s="18">
        <v>19.600000000000001</v>
      </c>
      <c r="G354" s="18">
        <v>20.2</v>
      </c>
      <c r="H354" s="18">
        <v>19.84</v>
      </c>
      <c r="I354" s="18">
        <v>17306217</v>
      </c>
      <c r="J354" s="18">
        <v>872097</v>
      </c>
    </row>
    <row r="355" spans="1:10" x14ac:dyDescent="0.3">
      <c r="A355" s="18" t="s">
        <v>388</v>
      </c>
      <c r="B355" s="18">
        <v>229</v>
      </c>
      <c r="C355" s="18" t="s">
        <v>1372</v>
      </c>
      <c r="D355" s="18" t="s">
        <v>1373</v>
      </c>
      <c r="E355" s="18">
        <v>-2.5100000000000001E-2</v>
      </c>
      <c r="F355" s="18">
        <v>227.4</v>
      </c>
      <c r="G355" s="18">
        <v>238</v>
      </c>
      <c r="H355" s="18">
        <v>230.92</v>
      </c>
      <c r="I355" s="18">
        <v>342768888</v>
      </c>
      <c r="J355" s="18">
        <v>1484371</v>
      </c>
    </row>
    <row r="356" spans="1:10" x14ac:dyDescent="0.3">
      <c r="A356" s="18" t="s">
        <v>389</v>
      </c>
      <c r="B356" s="18">
        <v>3.8</v>
      </c>
      <c r="C356" s="18" t="s">
        <v>1374</v>
      </c>
      <c r="D356" s="18" t="s">
        <v>1375</v>
      </c>
      <c r="E356" s="18">
        <v>-1.55E-2</v>
      </c>
      <c r="F356" s="18">
        <v>3.8</v>
      </c>
      <c r="G356" s="18">
        <v>3.91</v>
      </c>
      <c r="H356" s="18">
        <v>3.85</v>
      </c>
      <c r="I356" s="18">
        <v>73580658</v>
      </c>
      <c r="J356" s="18">
        <v>19135586</v>
      </c>
    </row>
    <row r="357" spans="1:10" x14ac:dyDescent="0.3">
      <c r="A357" s="18" t="s">
        <v>390</v>
      </c>
      <c r="B357" s="18">
        <v>22.2</v>
      </c>
      <c r="C357" s="18" t="s">
        <v>814</v>
      </c>
      <c r="D357" s="18" t="s">
        <v>1376</v>
      </c>
      <c r="E357" s="18">
        <v>8.9999999999999998E-4</v>
      </c>
      <c r="F357" s="18">
        <v>22.02</v>
      </c>
      <c r="G357" s="18">
        <v>22.36</v>
      </c>
      <c r="H357" s="18">
        <v>22.14</v>
      </c>
      <c r="I357" s="18">
        <v>49707657</v>
      </c>
      <c r="J357" s="18">
        <v>2244704</v>
      </c>
    </row>
    <row r="358" spans="1:10" x14ac:dyDescent="0.3">
      <c r="A358" s="18" t="s">
        <v>391</v>
      </c>
      <c r="B358" s="18">
        <v>510</v>
      </c>
      <c r="C358" s="18" t="s">
        <v>1377</v>
      </c>
      <c r="D358" s="18" t="s">
        <v>824</v>
      </c>
      <c r="E358" s="18">
        <v>-1.0699999999999999E-2</v>
      </c>
      <c r="F358" s="18">
        <v>507</v>
      </c>
      <c r="G358" s="18">
        <v>522.5</v>
      </c>
      <c r="H358" s="18">
        <v>513.29</v>
      </c>
      <c r="I358" s="18">
        <v>19819257</v>
      </c>
      <c r="J358" s="18">
        <v>38612</v>
      </c>
    </row>
    <row r="359" spans="1:10" x14ac:dyDescent="0.3">
      <c r="A359" s="18" t="s">
        <v>392</v>
      </c>
      <c r="B359" s="18">
        <v>15.3</v>
      </c>
      <c r="C359" s="18" t="s">
        <v>1378</v>
      </c>
      <c r="D359" s="18" t="s">
        <v>1379</v>
      </c>
      <c r="E359" s="18">
        <v>-2.1100000000000001E-2</v>
      </c>
      <c r="F359" s="18">
        <v>15.16</v>
      </c>
      <c r="G359" s="18">
        <v>15.75</v>
      </c>
      <c r="H359" s="18">
        <v>15.39</v>
      </c>
      <c r="I359" s="18">
        <v>12640947</v>
      </c>
      <c r="J359" s="18">
        <v>821143</v>
      </c>
    </row>
    <row r="360" spans="1:10" x14ac:dyDescent="0.3">
      <c r="A360" s="18" t="s">
        <v>393</v>
      </c>
      <c r="B360" s="18">
        <v>26.2</v>
      </c>
      <c r="C360" s="18" t="s">
        <v>825</v>
      </c>
      <c r="D360" s="18" t="s">
        <v>799</v>
      </c>
      <c r="E360" s="18">
        <v>-2.3E-3</v>
      </c>
      <c r="F360" s="18">
        <v>26.06</v>
      </c>
      <c r="G360" s="18">
        <v>26.72</v>
      </c>
      <c r="H360" s="18">
        <v>26.42</v>
      </c>
      <c r="I360" s="18">
        <v>126962545</v>
      </c>
      <c r="J360" s="18">
        <v>4806022</v>
      </c>
    </row>
    <row r="361" spans="1:10" x14ac:dyDescent="0.3">
      <c r="A361" s="18" t="s">
        <v>394</v>
      </c>
      <c r="B361" s="18">
        <v>139.6</v>
      </c>
      <c r="C361" s="18" t="s">
        <v>915</v>
      </c>
      <c r="D361" s="18" t="s">
        <v>1380</v>
      </c>
      <c r="E361" s="18">
        <v>4.3E-3</v>
      </c>
      <c r="F361" s="18">
        <v>138.6</v>
      </c>
      <c r="G361" s="18">
        <v>140.30000000000001</v>
      </c>
      <c r="H361" s="18">
        <v>139.76</v>
      </c>
      <c r="I361" s="18">
        <v>210977465</v>
      </c>
      <c r="J361" s="18">
        <v>1509615</v>
      </c>
    </row>
    <row r="362" spans="1:10" x14ac:dyDescent="0.3">
      <c r="A362" s="18" t="s">
        <v>395</v>
      </c>
      <c r="B362" s="18">
        <v>4.8</v>
      </c>
      <c r="C362" s="18" t="s">
        <v>1381</v>
      </c>
      <c r="D362" s="18" t="s">
        <v>1382</v>
      </c>
      <c r="E362" s="18">
        <v>-5.1400000000000001E-2</v>
      </c>
      <c r="F362" s="18">
        <v>4.5599999999999996</v>
      </c>
      <c r="G362" s="18">
        <v>5.08</v>
      </c>
      <c r="H362" s="18">
        <v>4.7699999999999996</v>
      </c>
      <c r="I362" s="18">
        <v>141696601</v>
      </c>
      <c r="J362" s="18">
        <v>29686541</v>
      </c>
    </row>
    <row r="363" spans="1:10" x14ac:dyDescent="0.3">
      <c r="A363" s="18" t="s">
        <v>396</v>
      </c>
      <c r="B363" s="18">
        <v>76.400000000000006</v>
      </c>
      <c r="C363" s="18" t="s">
        <v>673</v>
      </c>
      <c r="D363" s="18" t="s">
        <v>1383</v>
      </c>
      <c r="E363" s="18">
        <v>-2.5499999999999998E-2</v>
      </c>
      <c r="F363" s="18">
        <v>75.900000000000006</v>
      </c>
      <c r="G363" s="18">
        <v>79</v>
      </c>
      <c r="H363" s="18">
        <v>76.84</v>
      </c>
      <c r="I363" s="18">
        <v>10395757</v>
      </c>
      <c r="J363" s="18">
        <v>135285</v>
      </c>
    </row>
    <row r="364" spans="1:10" x14ac:dyDescent="0.3">
      <c r="A364" s="18" t="s">
        <v>397</v>
      </c>
      <c r="B364" s="18">
        <v>90.55</v>
      </c>
      <c r="C364" s="18" t="s">
        <v>1384</v>
      </c>
      <c r="D364" s="18" t="s">
        <v>1385</v>
      </c>
      <c r="E364" s="18">
        <v>-4.6800000000000001E-2</v>
      </c>
      <c r="F364" s="18">
        <v>90.55</v>
      </c>
      <c r="G364" s="18">
        <v>96.2</v>
      </c>
      <c r="H364" s="18">
        <v>92.58</v>
      </c>
      <c r="I364" s="18">
        <v>80073044</v>
      </c>
      <c r="J364" s="18">
        <v>864870</v>
      </c>
    </row>
    <row r="365" spans="1:10" x14ac:dyDescent="0.3">
      <c r="A365" s="18" t="s">
        <v>398</v>
      </c>
      <c r="B365" s="18">
        <v>17792.5</v>
      </c>
      <c r="C365" s="18" t="s">
        <v>1386</v>
      </c>
      <c r="D365" s="18" t="s">
        <v>1387</v>
      </c>
      <c r="E365" s="18">
        <v>3.9699999999999999E-2</v>
      </c>
      <c r="F365" s="18">
        <v>17125</v>
      </c>
      <c r="G365" s="18">
        <v>18370</v>
      </c>
      <c r="H365" s="18">
        <v>17972.13</v>
      </c>
      <c r="I365" s="18">
        <v>298894528</v>
      </c>
      <c r="J365" s="18">
        <v>16631</v>
      </c>
    </row>
    <row r="366" spans="1:10" x14ac:dyDescent="0.3">
      <c r="A366" s="18" t="s">
        <v>399</v>
      </c>
      <c r="B366" s="18">
        <v>657.5</v>
      </c>
      <c r="C366" s="18" t="s">
        <v>1388</v>
      </c>
      <c r="D366" s="18" t="s">
        <v>1389</v>
      </c>
      <c r="E366" s="18">
        <v>-4.4999999999999997E-3</v>
      </c>
      <c r="F366" s="18">
        <v>653</v>
      </c>
      <c r="G366" s="18">
        <v>665</v>
      </c>
      <c r="H366" s="18">
        <v>656.73</v>
      </c>
      <c r="I366" s="18">
        <v>10256167</v>
      </c>
      <c r="J366" s="18">
        <v>15617</v>
      </c>
    </row>
    <row r="367" spans="1:10" x14ac:dyDescent="0.3">
      <c r="A367" s="18" t="s">
        <v>400</v>
      </c>
      <c r="B367" s="18">
        <v>40</v>
      </c>
      <c r="C367" s="18" t="s">
        <v>1390</v>
      </c>
      <c r="D367" s="18" t="s">
        <v>1391</v>
      </c>
      <c r="E367" s="18">
        <v>1E-3</v>
      </c>
      <c r="F367" s="18">
        <v>39.619999999999997</v>
      </c>
      <c r="G367" s="18">
        <v>40.42</v>
      </c>
      <c r="H367" s="18">
        <v>40.049999999999997</v>
      </c>
      <c r="I367" s="18">
        <v>29890671</v>
      </c>
      <c r="J367" s="18">
        <v>746358</v>
      </c>
    </row>
    <row r="368" spans="1:10" x14ac:dyDescent="0.3">
      <c r="A368" s="18" t="s">
        <v>401</v>
      </c>
      <c r="B368" s="18">
        <v>33.94</v>
      </c>
      <c r="C368" s="18" t="s">
        <v>850</v>
      </c>
      <c r="D368" s="18" t="s">
        <v>1392</v>
      </c>
      <c r="E368" s="18">
        <v>3.73E-2</v>
      </c>
      <c r="F368" s="18">
        <v>32.200000000000003</v>
      </c>
      <c r="G368" s="18">
        <v>34.28</v>
      </c>
      <c r="H368" s="18">
        <v>33.18</v>
      </c>
      <c r="I368" s="18">
        <v>255567889</v>
      </c>
      <c r="J368" s="18">
        <v>7702733</v>
      </c>
    </row>
    <row r="369" spans="1:10" x14ac:dyDescent="0.3">
      <c r="A369" s="18" t="s">
        <v>402</v>
      </c>
      <c r="B369" s="18">
        <v>18.13</v>
      </c>
      <c r="C369" s="18" t="s">
        <v>1393</v>
      </c>
      <c r="D369" s="18" t="s">
        <v>1394</v>
      </c>
      <c r="E369" s="18">
        <v>6.7699999999999996E-2</v>
      </c>
      <c r="F369" s="18">
        <v>16.78</v>
      </c>
      <c r="G369" s="18">
        <v>18.579999999999998</v>
      </c>
      <c r="H369" s="18">
        <v>18.190000000000001</v>
      </c>
      <c r="I369" s="18">
        <v>141081459</v>
      </c>
      <c r="J369" s="18">
        <v>7757308</v>
      </c>
    </row>
    <row r="370" spans="1:10" x14ac:dyDescent="0.3">
      <c r="A370" s="18" t="s">
        <v>403</v>
      </c>
      <c r="B370" s="18">
        <v>11.39</v>
      </c>
      <c r="C370" s="18" t="s">
        <v>1395</v>
      </c>
      <c r="D370" s="18" t="s">
        <v>797</v>
      </c>
      <c r="E370" s="18">
        <v>-3.6400000000000002E-2</v>
      </c>
      <c r="F370" s="18">
        <v>11.32</v>
      </c>
      <c r="G370" s="18">
        <v>11.93</v>
      </c>
      <c r="H370" s="18">
        <v>11.54</v>
      </c>
      <c r="I370" s="18">
        <v>44357178</v>
      </c>
      <c r="J370" s="18">
        <v>3842298</v>
      </c>
    </row>
    <row r="371" spans="1:10" x14ac:dyDescent="0.3">
      <c r="A371" s="18" t="s">
        <v>404</v>
      </c>
      <c r="B371" s="18">
        <v>5.36</v>
      </c>
      <c r="C371" s="18" t="s">
        <v>1396</v>
      </c>
      <c r="D371" s="18" t="s">
        <v>1201</v>
      </c>
      <c r="E371" s="18">
        <v>-2.9000000000000001E-2</v>
      </c>
      <c r="F371" s="18">
        <v>5.34</v>
      </c>
      <c r="G371" s="18">
        <v>5.55</v>
      </c>
      <c r="H371" s="18">
        <v>5.4</v>
      </c>
      <c r="I371" s="18">
        <v>28533890</v>
      </c>
      <c r="J371" s="18">
        <v>5289327</v>
      </c>
    </row>
    <row r="372" spans="1:10" x14ac:dyDescent="0.3">
      <c r="A372" s="18" t="s">
        <v>405</v>
      </c>
      <c r="B372" s="18">
        <v>13.86</v>
      </c>
      <c r="C372" s="18" t="s">
        <v>1397</v>
      </c>
      <c r="D372" s="18" t="s">
        <v>1398</v>
      </c>
      <c r="E372" s="18">
        <v>-0.1</v>
      </c>
      <c r="F372" s="18">
        <v>13.86</v>
      </c>
      <c r="G372" s="18">
        <v>15.55</v>
      </c>
      <c r="H372" s="18">
        <v>14.59</v>
      </c>
      <c r="I372" s="18">
        <v>79037170</v>
      </c>
      <c r="J372" s="18">
        <v>5419230</v>
      </c>
    </row>
    <row r="373" spans="1:10" x14ac:dyDescent="0.3">
      <c r="A373" s="18" t="s">
        <v>406</v>
      </c>
      <c r="B373" s="18">
        <v>49.58</v>
      </c>
      <c r="C373" s="18" t="s">
        <v>1399</v>
      </c>
      <c r="D373" s="18" t="s">
        <v>1400</v>
      </c>
      <c r="E373" s="18">
        <v>2.4799999999999999E-2</v>
      </c>
      <c r="F373" s="18">
        <v>48.4</v>
      </c>
      <c r="G373" s="18">
        <v>52.5</v>
      </c>
      <c r="H373" s="18">
        <v>50.34</v>
      </c>
      <c r="I373" s="18">
        <v>70482600</v>
      </c>
      <c r="J373" s="18">
        <v>1400208</v>
      </c>
    </row>
    <row r="374" spans="1:10" x14ac:dyDescent="0.3">
      <c r="A374" s="18" t="s">
        <v>407</v>
      </c>
      <c r="B374" s="18">
        <v>2.98</v>
      </c>
      <c r="C374" s="18" t="s">
        <v>790</v>
      </c>
      <c r="D374" s="18" t="s">
        <v>1401</v>
      </c>
      <c r="E374" s="18">
        <v>-4.4900000000000002E-2</v>
      </c>
      <c r="F374" s="18">
        <v>2.98</v>
      </c>
      <c r="G374" s="18">
        <v>3.14</v>
      </c>
      <c r="H374" s="18">
        <v>3.06</v>
      </c>
      <c r="I374" s="18">
        <v>57159993</v>
      </c>
      <c r="J374" s="18">
        <v>18689629</v>
      </c>
    </row>
    <row r="375" spans="1:10" x14ac:dyDescent="0.3">
      <c r="A375" s="18" t="s">
        <v>408</v>
      </c>
      <c r="B375" s="18">
        <v>30.58</v>
      </c>
      <c r="C375" s="18" t="s">
        <v>1402</v>
      </c>
      <c r="D375" s="18" t="s">
        <v>1403</v>
      </c>
      <c r="E375" s="18">
        <v>-9.7000000000000003E-3</v>
      </c>
      <c r="F375" s="18">
        <v>30.26</v>
      </c>
      <c r="G375" s="18">
        <v>32.04</v>
      </c>
      <c r="H375" s="18">
        <v>30.6</v>
      </c>
      <c r="I375" s="18">
        <v>266262241</v>
      </c>
      <c r="J375" s="18">
        <v>8701985</v>
      </c>
    </row>
    <row r="376" spans="1:10" x14ac:dyDescent="0.3">
      <c r="A376" s="18" t="s">
        <v>409</v>
      </c>
      <c r="B376" s="18">
        <v>29.72</v>
      </c>
      <c r="C376" s="18" t="s">
        <v>1404</v>
      </c>
      <c r="D376" s="18" t="s">
        <v>1405</v>
      </c>
      <c r="E376" s="18">
        <v>-0.01</v>
      </c>
      <c r="F376" s="18">
        <v>29.56</v>
      </c>
      <c r="G376" s="18">
        <v>30.6</v>
      </c>
      <c r="H376" s="18">
        <v>29.9</v>
      </c>
      <c r="I376" s="18">
        <v>14828342</v>
      </c>
      <c r="J376" s="18">
        <v>496010</v>
      </c>
    </row>
    <row r="377" spans="1:10" x14ac:dyDescent="0.3">
      <c r="A377" s="18" t="s">
        <v>410</v>
      </c>
      <c r="B377" s="18">
        <v>2.66</v>
      </c>
      <c r="C377" s="18" t="s">
        <v>1406</v>
      </c>
      <c r="D377" s="18" t="s">
        <v>1407</v>
      </c>
      <c r="E377" s="18">
        <v>-4.3200000000000002E-2</v>
      </c>
      <c r="F377" s="18">
        <v>2.65</v>
      </c>
      <c r="G377" s="18">
        <v>2.78</v>
      </c>
      <c r="H377" s="18">
        <v>2.7</v>
      </c>
      <c r="I377" s="18">
        <v>2004550</v>
      </c>
      <c r="J377" s="18">
        <v>742122</v>
      </c>
    </row>
    <row r="378" spans="1:10" x14ac:dyDescent="0.3">
      <c r="A378" s="18" t="s">
        <v>411</v>
      </c>
      <c r="B378" s="18">
        <v>26.94</v>
      </c>
      <c r="C378" s="18" t="s">
        <v>1408</v>
      </c>
      <c r="D378" s="18" t="s">
        <v>1409</v>
      </c>
      <c r="E378" s="18">
        <v>-8.8000000000000005E-3</v>
      </c>
      <c r="F378" s="18">
        <v>26.84</v>
      </c>
      <c r="G378" s="18">
        <v>27.52</v>
      </c>
      <c r="H378" s="18">
        <v>27.08</v>
      </c>
      <c r="I378" s="18">
        <v>42776698</v>
      </c>
      <c r="J378" s="18">
        <v>1579693</v>
      </c>
    </row>
    <row r="379" spans="1:10" x14ac:dyDescent="0.3">
      <c r="A379" s="18" t="s">
        <v>412</v>
      </c>
      <c r="B379" s="18">
        <v>38.44</v>
      </c>
      <c r="C379" s="18" t="s">
        <v>1410</v>
      </c>
      <c r="D379" s="18" t="s">
        <v>720</v>
      </c>
      <c r="E379" s="18">
        <v>-2.0400000000000001E-2</v>
      </c>
      <c r="F379" s="18">
        <v>38.380000000000003</v>
      </c>
      <c r="G379" s="18">
        <v>39.76</v>
      </c>
      <c r="H379" s="18">
        <v>39.01</v>
      </c>
      <c r="I379" s="18">
        <v>21649549</v>
      </c>
      <c r="J379" s="18">
        <v>554992</v>
      </c>
    </row>
    <row r="380" spans="1:10" x14ac:dyDescent="0.3">
      <c r="A380" s="18" t="s">
        <v>413</v>
      </c>
      <c r="B380" s="18">
        <v>7.63</v>
      </c>
      <c r="C380" s="18" t="s">
        <v>1411</v>
      </c>
      <c r="D380" s="18" t="s">
        <v>906</v>
      </c>
      <c r="E380" s="18">
        <v>-1.9300000000000001E-2</v>
      </c>
      <c r="F380" s="18">
        <v>7.61</v>
      </c>
      <c r="G380" s="18">
        <v>7.94</v>
      </c>
      <c r="H380" s="18">
        <v>7.78</v>
      </c>
      <c r="I380" s="18">
        <v>816094</v>
      </c>
      <c r="J380" s="18">
        <v>104870</v>
      </c>
    </row>
    <row r="381" spans="1:10" x14ac:dyDescent="0.3">
      <c r="A381" s="18" t="s">
        <v>414</v>
      </c>
      <c r="B381" s="18">
        <v>15.99</v>
      </c>
      <c r="C381" s="18" t="s">
        <v>1048</v>
      </c>
      <c r="D381" s="18" t="s">
        <v>706</v>
      </c>
      <c r="E381" s="18">
        <v>-1.2999999999999999E-2</v>
      </c>
      <c r="F381" s="18">
        <v>15.49</v>
      </c>
      <c r="G381" s="18">
        <v>16.39</v>
      </c>
      <c r="H381" s="18">
        <v>15.94</v>
      </c>
      <c r="I381" s="18">
        <v>34034258</v>
      </c>
      <c r="J381" s="18">
        <v>2135003</v>
      </c>
    </row>
    <row r="382" spans="1:10" x14ac:dyDescent="0.3">
      <c r="A382" s="18" t="s">
        <v>415</v>
      </c>
      <c r="B382" s="18">
        <v>11.7</v>
      </c>
      <c r="C382" s="18" t="s">
        <v>827</v>
      </c>
      <c r="D382" s="18" t="s">
        <v>1412</v>
      </c>
      <c r="E382" s="18">
        <v>-2.4199999999999999E-2</v>
      </c>
      <c r="F382" s="18">
        <v>11.63</v>
      </c>
      <c r="G382" s="18">
        <v>12</v>
      </c>
      <c r="H382" s="18">
        <v>11.75</v>
      </c>
      <c r="I382" s="18">
        <v>13497112</v>
      </c>
      <c r="J382" s="18">
        <v>1148572</v>
      </c>
    </row>
    <row r="383" spans="1:10" x14ac:dyDescent="0.3">
      <c r="A383" s="18" t="s">
        <v>416</v>
      </c>
      <c r="B383" s="18">
        <v>13.98</v>
      </c>
      <c r="C383" s="18" t="s">
        <v>1169</v>
      </c>
      <c r="D383" s="18" t="s">
        <v>826</v>
      </c>
      <c r="E383" s="18">
        <v>-4.8300000000000003E-2</v>
      </c>
      <c r="F383" s="18">
        <v>13.98</v>
      </c>
      <c r="G383" s="18">
        <v>14.73</v>
      </c>
      <c r="H383" s="18">
        <v>14.24</v>
      </c>
      <c r="I383" s="18">
        <v>52879630</v>
      </c>
      <c r="J383" s="18">
        <v>3712464</v>
      </c>
    </row>
    <row r="384" spans="1:10" x14ac:dyDescent="0.3">
      <c r="A384" s="18" t="s">
        <v>417</v>
      </c>
      <c r="B384" s="18">
        <v>2.5499999999999998</v>
      </c>
      <c r="C384" s="18" t="s">
        <v>829</v>
      </c>
      <c r="D384" s="18" t="s">
        <v>830</v>
      </c>
      <c r="E384" s="18">
        <v>-2.6700000000000002E-2</v>
      </c>
      <c r="F384" s="18">
        <v>2.52</v>
      </c>
      <c r="G384" s="18">
        <v>2.63</v>
      </c>
      <c r="H384" s="18">
        <v>2.56</v>
      </c>
      <c r="I384" s="18">
        <v>14263605</v>
      </c>
      <c r="J384" s="18">
        <v>5568846</v>
      </c>
    </row>
    <row r="385" spans="1:10" x14ac:dyDescent="0.3">
      <c r="A385" s="18" t="s">
        <v>418</v>
      </c>
      <c r="B385" s="18">
        <v>21.2</v>
      </c>
      <c r="C385" s="18" t="s">
        <v>1413</v>
      </c>
      <c r="D385" s="18" t="s">
        <v>1414</v>
      </c>
      <c r="E385" s="18">
        <v>6.4799999999999996E-2</v>
      </c>
      <c r="F385" s="18">
        <v>19.45</v>
      </c>
      <c r="G385" s="18">
        <v>21.9</v>
      </c>
      <c r="H385" s="18">
        <v>20.55</v>
      </c>
      <c r="I385" s="18">
        <v>551800553</v>
      </c>
      <c r="J385" s="18">
        <v>26856292</v>
      </c>
    </row>
    <row r="386" spans="1:10" x14ac:dyDescent="0.3">
      <c r="A386" s="18" t="s">
        <v>419</v>
      </c>
      <c r="B386" s="18">
        <v>477</v>
      </c>
      <c r="C386" s="18" t="s">
        <v>1415</v>
      </c>
      <c r="D386" s="18" t="s">
        <v>1416</v>
      </c>
      <c r="E386" s="18">
        <v>-1.95E-2</v>
      </c>
      <c r="F386" s="18">
        <v>474</v>
      </c>
      <c r="G386" s="18">
        <v>486.25</v>
      </c>
      <c r="H386" s="18">
        <v>478.79</v>
      </c>
      <c r="I386" s="18">
        <v>801315459</v>
      </c>
      <c r="J386" s="18">
        <v>1673635</v>
      </c>
    </row>
    <row r="387" spans="1:10" x14ac:dyDescent="0.3">
      <c r="A387" s="18" t="s">
        <v>420</v>
      </c>
      <c r="B387" s="18">
        <v>4.7300000000000004</v>
      </c>
      <c r="C387" s="18" t="s">
        <v>1417</v>
      </c>
      <c r="D387" s="18" t="s">
        <v>840</v>
      </c>
      <c r="E387" s="18">
        <v>-2.87E-2</v>
      </c>
      <c r="F387" s="18">
        <v>4.7300000000000004</v>
      </c>
      <c r="G387" s="18">
        <v>4.9000000000000004</v>
      </c>
      <c r="H387" s="18">
        <v>4.78</v>
      </c>
      <c r="I387" s="18">
        <v>6885097</v>
      </c>
      <c r="J387" s="18">
        <v>1439525</v>
      </c>
    </row>
    <row r="388" spans="1:10" x14ac:dyDescent="0.3">
      <c r="A388" s="18" t="s">
        <v>421</v>
      </c>
      <c r="B388" s="18">
        <v>30.84</v>
      </c>
      <c r="C388" s="18" t="s">
        <v>1418</v>
      </c>
      <c r="D388" s="18" t="s">
        <v>1419</v>
      </c>
      <c r="E388" s="18">
        <v>-9.5999999999999992E-3</v>
      </c>
      <c r="F388" s="18">
        <v>30.8</v>
      </c>
      <c r="G388" s="18">
        <v>31.32</v>
      </c>
      <c r="H388" s="18">
        <v>30.99</v>
      </c>
      <c r="I388" s="18">
        <v>196735593</v>
      </c>
      <c r="J388" s="18">
        <v>6347658</v>
      </c>
    </row>
    <row r="389" spans="1:10" x14ac:dyDescent="0.3">
      <c r="A389" s="18" t="s">
        <v>422</v>
      </c>
      <c r="B389" s="18">
        <v>23</v>
      </c>
      <c r="C389" s="18" t="s">
        <v>1420</v>
      </c>
      <c r="D389" s="18" t="s">
        <v>1421</v>
      </c>
      <c r="E389" s="18">
        <v>0</v>
      </c>
      <c r="F389" s="18">
        <v>23</v>
      </c>
      <c r="G389" s="18">
        <v>23.5</v>
      </c>
      <c r="H389" s="18">
        <v>23</v>
      </c>
      <c r="I389" s="18">
        <v>5041794</v>
      </c>
      <c r="J389" s="18">
        <v>219201</v>
      </c>
    </row>
    <row r="390" spans="1:10" x14ac:dyDescent="0.3">
      <c r="A390" s="18" t="s">
        <v>423</v>
      </c>
      <c r="B390" s="18">
        <v>10.27</v>
      </c>
      <c r="C390" s="18" t="s">
        <v>1422</v>
      </c>
      <c r="D390" s="18" t="s">
        <v>1423</v>
      </c>
      <c r="E390" s="18">
        <v>-3.1099999999999999E-2</v>
      </c>
      <c r="F390" s="18">
        <v>10.15</v>
      </c>
      <c r="G390" s="18">
        <v>10.8</v>
      </c>
      <c r="H390" s="18">
        <v>10.39</v>
      </c>
      <c r="I390" s="18">
        <v>33246376</v>
      </c>
      <c r="J390" s="18">
        <v>3201170</v>
      </c>
    </row>
    <row r="391" spans="1:10" x14ac:dyDescent="0.3">
      <c r="A391" s="18" t="s">
        <v>424</v>
      </c>
      <c r="B391" s="18">
        <v>5.33</v>
      </c>
      <c r="C391" s="18" t="s">
        <v>1424</v>
      </c>
      <c r="D391" s="18" t="s">
        <v>831</v>
      </c>
      <c r="E391" s="18">
        <v>-2.0199999999999999E-2</v>
      </c>
      <c r="F391" s="18">
        <v>5.31</v>
      </c>
      <c r="G391" s="18">
        <v>5.47</v>
      </c>
      <c r="H391" s="18">
        <v>5.36</v>
      </c>
      <c r="I391" s="18">
        <v>8181333</v>
      </c>
      <c r="J391" s="18">
        <v>1525259</v>
      </c>
    </row>
    <row r="392" spans="1:10" x14ac:dyDescent="0.3">
      <c r="A392" s="18" t="s">
        <v>425</v>
      </c>
      <c r="B392" s="18">
        <v>6.69</v>
      </c>
      <c r="C392" s="18" t="s">
        <v>832</v>
      </c>
      <c r="D392" s="18" t="s">
        <v>833</v>
      </c>
      <c r="E392" s="18">
        <v>-1.6199999999999999E-2</v>
      </c>
      <c r="F392" s="18">
        <v>6.59</v>
      </c>
      <c r="G392" s="18">
        <v>7.03</v>
      </c>
      <c r="H392" s="18">
        <v>6.74</v>
      </c>
      <c r="I392" s="18">
        <v>88571277</v>
      </c>
      <c r="J392" s="18">
        <v>13133072</v>
      </c>
    </row>
    <row r="393" spans="1:10" x14ac:dyDescent="0.3">
      <c r="A393" s="18" t="s">
        <v>426</v>
      </c>
      <c r="B393" s="18">
        <v>8.0299999999999994</v>
      </c>
      <c r="C393" s="18" t="s">
        <v>1425</v>
      </c>
      <c r="D393" s="18" t="s">
        <v>834</v>
      </c>
      <c r="E393" s="18">
        <v>-1.23E-2</v>
      </c>
      <c r="F393" s="18">
        <v>8.0299999999999994</v>
      </c>
      <c r="G393" s="18">
        <v>8.17</v>
      </c>
      <c r="H393" s="18">
        <v>8.08</v>
      </c>
      <c r="I393" s="18">
        <v>34220177</v>
      </c>
      <c r="J393" s="18">
        <v>4236003</v>
      </c>
    </row>
    <row r="394" spans="1:10" x14ac:dyDescent="0.3">
      <c r="A394" s="18" t="s">
        <v>427</v>
      </c>
      <c r="B394" s="18">
        <v>31.7</v>
      </c>
      <c r="C394" s="18" t="s">
        <v>1125</v>
      </c>
      <c r="D394" s="18" t="s">
        <v>1426</v>
      </c>
      <c r="E394" s="18">
        <v>3.5900000000000001E-2</v>
      </c>
      <c r="F394" s="18">
        <v>29.92</v>
      </c>
      <c r="G394" s="18">
        <v>32.44</v>
      </c>
      <c r="H394" s="18">
        <v>31.21</v>
      </c>
      <c r="I394" s="18">
        <v>167878832</v>
      </c>
      <c r="J394" s="18">
        <v>5379292</v>
      </c>
    </row>
    <row r="395" spans="1:10" x14ac:dyDescent="0.3">
      <c r="A395" s="18" t="s">
        <v>428</v>
      </c>
      <c r="B395" s="18">
        <v>315.25</v>
      </c>
      <c r="C395" s="18" t="s">
        <v>1427</v>
      </c>
      <c r="D395" s="18" t="s">
        <v>1428</v>
      </c>
      <c r="E395" s="18">
        <v>-3.8100000000000002E-2</v>
      </c>
      <c r="F395" s="18">
        <v>315.25</v>
      </c>
      <c r="G395" s="18">
        <v>330.25</v>
      </c>
      <c r="H395" s="18">
        <v>320.77999999999997</v>
      </c>
      <c r="I395" s="18">
        <v>155456195</v>
      </c>
      <c r="J395" s="18">
        <v>484614</v>
      </c>
    </row>
    <row r="396" spans="1:10" x14ac:dyDescent="0.3">
      <c r="A396" s="18" t="s">
        <v>429</v>
      </c>
      <c r="B396" s="18">
        <v>1.87</v>
      </c>
      <c r="C396" s="18" t="s">
        <v>835</v>
      </c>
      <c r="D396" s="18" t="s">
        <v>638</v>
      </c>
      <c r="E396" s="18">
        <v>-5.0799999999999998E-2</v>
      </c>
      <c r="F396" s="18">
        <v>1.85</v>
      </c>
      <c r="G396" s="18">
        <v>1.98</v>
      </c>
      <c r="H396" s="18">
        <v>1.9</v>
      </c>
      <c r="I396" s="18">
        <v>165579745</v>
      </c>
      <c r="J396" s="18">
        <v>86945116</v>
      </c>
    </row>
    <row r="397" spans="1:10" x14ac:dyDescent="0.3">
      <c r="A397" s="18" t="s">
        <v>430</v>
      </c>
      <c r="B397" s="18">
        <v>1355</v>
      </c>
      <c r="C397" s="18" t="s">
        <v>1429</v>
      </c>
      <c r="D397" s="18" t="s">
        <v>836</v>
      </c>
      <c r="E397" s="18">
        <v>-2.7300000000000001E-2</v>
      </c>
      <c r="F397" s="18">
        <v>1352</v>
      </c>
      <c r="G397" s="18">
        <v>1402</v>
      </c>
      <c r="H397" s="18">
        <v>1371.28</v>
      </c>
      <c r="I397" s="18">
        <v>20009747</v>
      </c>
      <c r="J397" s="18">
        <v>14592</v>
      </c>
    </row>
    <row r="398" spans="1:10" x14ac:dyDescent="0.3">
      <c r="A398" s="18" t="s">
        <v>431</v>
      </c>
      <c r="B398" s="18">
        <v>3.9</v>
      </c>
      <c r="C398" s="18" t="s">
        <v>1430</v>
      </c>
      <c r="D398" s="18" t="s">
        <v>1431</v>
      </c>
      <c r="E398" s="18">
        <v>-7.6E-3</v>
      </c>
      <c r="F398" s="18">
        <v>3.81</v>
      </c>
      <c r="G398" s="18">
        <v>3.95</v>
      </c>
      <c r="H398" s="18">
        <v>3.9</v>
      </c>
      <c r="I398" s="18">
        <v>7860310</v>
      </c>
      <c r="J398" s="18">
        <v>2017631</v>
      </c>
    </row>
    <row r="399" spans="1:10" x14ac:dyDescent="0.3">
      <c r="A399" s="18" t="s">
        <v>432</v>
      </c>
      <c r="B399" s="18">
        <v>18.920000000000002</v>
      </c>
      <c r="C399" s="18" t="s">
        <v>1432</v>
      </c>
      <c r="D399" s="18" t="s">
        <v>721</v>
      </c>
      <c r="E399" s="18">
        <v>-2.92E-2</v>
      </c>
      <c r="F399" s="18">
        <v>18.84</v>
      </c>
      <c r="G399" s="18">
        <v>19.52</v>
      </c>
      <c r="H399" s="18">
        <v>19.05</v>
      </c>
      <c r="I399" s="18">
        <v>17715765</v>
      </c>
      <c r="J399" s="18">
        <v>929891</v>
      </c>
    </row>
    <row r="400" spans="1:10" x14ac:dyDescent="0.3">
      <c r="A400" s="18" t="s">
        <v>433</v>
      </c>
      <c r="B400" s="18">
        <v>6.5</v>
      </c>
      <c r="C400" s="18" t="s">
        <v>764</v>
      </c>
      <c r="D400" s="18" t="s">
        <v>1276</v>
      </c>
      <c r="E400" s="18">
        <v>-1.0699999999999999E-2</v>
      </c>
      <c r="F400" s="18">
        <v>6.35</v>
      </c>
      <c r="G400" s="18">
        <v>6.65</v>
      </c>
      <c r="H400" s="18">
        <v>6.53</v>
      </c>
      <c r="I400" s="18">
        <v>4242662</v>
      </c>
      <c r="J400" s="18">
        <v>649964</v>
      </c>
    </row>
    <row r="401" spans="1:10" x14ac:dyDescent="0.3">
      <c r="A401" s="18" t="s">
        <v>434</v>
      </c>
      <c r="B401" s="18">
        <v>5.85</v>
      </c>
      <c r="C401" s="18" t="s">
        <v>937</v>
      </c>
      <c r="D401" s="18" t="s">
        <v>995</v>
      </c>
      <c r="E401" s="18">
        <v>-2.01E-2</v>
      </c>
      <c r="F401" s="18">
        <v>5.7</v>
      </c>
      <c r="G401" s="18">
        <v>5.97</v>
      </c>
      <c r="H401" s="18">
        <v>5.82</v>
      </c>
      <c r="I401" s="18">
        <v>1999473</v>
      </c>
      <c r="J401" s="18">
        <v>343811</v>
      </c>
    </row>
    <row r="402" spans="1:10" x14ac:dyDescent="0.3">
      <c r="A402" s="18" t="s">
        <v>435</v>
      </c>
      <c r="B402" s="18">
        <v>50.25</v>
      </c>
      <c r="C402" s="18" t="s">
        <v>1433</v>
      </c>
      <c r="D402" s="18" t="s">
        <v>1434</v>
      </c>
      <c r="E402" s="18">
        <v>-1.18E-2</v>
      </c>
      <c r="F402" s="18">
        <v>49.3</v>
      </c>
      <c r="G402" s="18">
        <v>52.5</v>
      </c>
      <c r="H402" s="18">
        <v>50.61</v>
      </c>
      <c r="I402" s="18">
        <v>279136868</v>
      </c>
      <c r="J402" s="18">
        <v>5514960</v>
      </c>
    </row>
    <row r="403" spans="1:10" x14ac:dyDescent="0.3">
      <c r="A403" s="18" t="s">
        <v>436</v>
      </c>
      <c r="B403" s="18">
        <v>47.82</v>
      </c>
      <c r="C403" s="18" t="s">
        <v>1435</v>
      </c>
      <c r="D403" s="18" t="s">
        <v>1436</v>
      </c>
      <c r="E403" s="18">
        <v>-3.5099999999999999E-2</v>
      </c>
      <c r="F403" s="18">
        <v>47.82</v>
      </c>
      <c r="G403" s="18">
        <v>49.88</v>
      </c>
      <c r="H403" s="18">
        <v>48.79</v>
      </c>
      <c r="I403" s="18">
        <v>15768883</v>
      </c>
      <c r="J403" s="18">
        <v>323231</v>
      </c>
    </row>
    <row r="404" spans="1:10" x14ac:dyDescent="0.3">
      <c r="A404" s="18" t="s">
        <v>437</v>
      </c>
      <c r="B404" s="18">
        <v>16.989999999999998</v>
      </c>
      <c r="C404" s="18" t="s">
        <v>1437</v>
      </c>
      <c r="D404" s="18" t="s">
        <v>1438</v>
      </c>
      <c r="E404" s="18">
        <v>-2.64E-2</v>
      </c>
      <c r="F404" s="18">
        <v>16.96</v>
      </c>
      <c r="G404" s="18">
        <v>17.84</v>
      </c>
      <c r="H404" s="18">
        <v>17.32</v>
      </c>
      <c r="I404" s="18">
        <v>26176291</v>
      </c>
      <c r="J404" s="18">
        <v>1511526</v>
      </c>
    </row>
    <row r="405" spans="1:10" x14ac:dyDescent="0.3">
      <c r="A405" s="18" t="s">
        <v>438</v>
      </c>
      <c r="B405" s="18">
        <v>8.6999999999999993</v>
      </c>
      <c r="C405" s="18" t="s">
        <v>1186</v>
      </c>
      <c r="D405" s="18" t="s">
        <v>694</v>
      </c>
      <c r="E405" s="18">
        <v>-3.3999999999999998E-3</v>
      </c>
      <c r="F405" s="18">
        <v>8.59</v>
      </c>
      <c r="G405" s="18">
        <v>8.83</v>
      </c>
      <c r="H405" s="18">
        <v>8.73</v>
      </c>
      <c r="I405" s="18">
        <v>38125197</v>
      </c>
      <c r="J405" s="18">
        <v>4366888</v>
      </c>
    </row>
    <row r="406" spans="1:10" x14ac:dyDescent="0.3">
      <c r="A406" s="18" t="s">
        <v>439</v>
      </c>
      <c r="B406" s="18">
        <v>40.9</v>
      </c>
      <c r="C406" s="18" t="s">
        <v>1439</v>
      </c>
      <c r="D406" s="18" t="s">
        <v>1440</v>
      </c>
      <c r="E406" s="18">
        <v>-2.01E-2</v>
      </c>
      <c r="F406" s="18">
        <v>40.880000000000003</v>
      </c>
      <c r="G406" s="18">
        <v>41.98</v>
      </c>
      <c r="H406" s="18">
        <v>41.38</v>
      </c>
      <c r="I406" s="18">
        <v>44371291</v>
      </c>
      <c r="J406" s="18">
        <v>1072400</v>
      </c>
    </row>
    <row r="407" spans="1:10" x14ac:dyDescent="0.3">
      <c r="A407" s="18" t="s">
        <v>440</v>
      </c>
      <c r="B407" s="18">
        <v>7.24</v>
      </c>
      <c r="C407" s="18" t="s">
        <v>690</v>
      </c>
      <c r="D407" s="18" t="s">
        <v>671</v>
      </c>
      <c r="E407" s="18">
        <v>-3.5999999999999997E-2</v>
      </c>
      <c r="F407" s="18">
        <v>7.19</v>
      </c>
      <c r="G407" s="18">
        <v>7.48</v>
      </c>
      <c r="H407" s="18">
        <v>7.3</v>
      </c>
      <c r="I407" s="18">
        <v>33579941</v>
      </c>
      <c r="J407" s="18">
        <v>4597380</v>
      </c>
    </row>
    <row r="408" spans="1:10" x14ac:dyDescent="0.3">
      <c r="A408" s="18" t="s">
        <v>441</v>
      </c>
      <c r="B408" s="18">
        <v>226</v>
      </c>
      <c r="C408" s="18" t="s">
        <v>1441</v>
      </c>
      <c r="D408" s="18" t="s">
        <v>1442</v>
      </c>
      <c r="E408" s="18">
        <v>2.7300000000000001E-2</v>
      </c>
      <c r="F408" s="18">
        <v>218.5</v>
      </c>
      <c r="G408" s="18">
        <v>226</v>
      </c>
      <c r="H408" s="18">
        <v>221.65</v>
      </c>
      <c r="I408" s="18">
        <v>33070866</v>
      </c>
      <c r="J408" s="18">
        <v>149203</v>
      </c>
    </row>
    <row r="409" spans="1:10" x14ac:dyDescent="0.3">
      <c r="A409" s="18" t="s">
        <v>442</v>
      </c>
      <c r="B409" s="18">
        <v>49.44</v>
      </c>
      <c r="C409" s="18" t="s">
        <v>1443</v>
      </c>
      <c r="D409" s="18" t="s">
        <v>1444</v>
      </c>
      <c r="E409" s="18">
        <v>-4.7999999999999996E-3</v>
      </c>
      <c r="F409" s="18">
        <v>46.22</v>
      </c>
      <c r="G409" s="18">
        <v>53.05</v>
      </c>
      <c r="H409" s="18">
        <v>50.21</v>
      </c>
      <c r="I409" s="18">
        <v>1410629885</v>
      </c>
      <c r="J409" s="18">
        <v>28096841</v>
      </c>
    </row>
    <row r="410" spans="1:10" x14ac:dyDescent="0.3">
      <c r="A410" s="18" t="s">
        <v>443</v>
      </c>
      <c r="B410" s="18">
        <v>30.06</v>
      </c>
      <c r="C410" s="18" t="s">
        <v>1445</v>
      </c>
      <c r="D410" s="18" t="s">
        <v>1446</v>
      </c>
      <c r="E410" s="18">
        <v>-1.44E-2</v>
      </c>
      <c r="F410" s="18">
        <v>30.04</v>
      </c>
      <c r="G410" s="18">
        <v>30.78</v>
      </c>
      <c r="H410" s="18">
        <v>30.37</v>
      </c>
      <c r="I410" s="18">
        <v>11650249</v>
      </c>
      <c r="J410" s="18">
        <v>383652</v>
      </c>
    </row>
    <row r="411" spans="1:10" x14ac:dyDescent="0.3">
      <c r="A411" s="18" t="s">
        <v>444</v>
      </c>
      <c r="B411" s="18">
        <v>4.6900000000000004</v>
      </c>
      <c r="C411" s="18" t="s">
        <v>1447</v>
      </c>
      <c r="D411" s="18" t="s">
        <v>1448</v>
      </c>
      <c r="E411" s="18">
        <v>-4.2900000000000001E-2</v>
      </c>
      <c r="F411" s="18">
        <v>4.6900000000000004</v>
      </c>
      <c r="G411" s="18">
        <v>4.93</v>
      </c>
      <c r="H411" s="18">
        <v>4.79</v>
      </c>
      <c r="I411" s="18">
        <v>158656949</v>
      </c>
      <c r="J411" s="18">
        <v>33117846</v>
      </c>
    </row>
    <row r="412" spans="1:10" x14ac:dyDescent="0.3">
      <c r="A412" s="18" t="s">
        <v>445</v>
      </c>
      <c r="B412" s="18">
        <v>73.599999999999994</v>
      </c>
      <c r="C412" s="18" t="s">
        <v>1449</v>
      </c>
      <c r="D412" s="18" t="s">
        <v>1450</v>
      </c>
      <c r="E412" s="18">
        <v>-3.9800000000000002E-2</v>
      </c>
      <c r="F412" s="18">
        <v>73.599999999999994</v>
      </c>
      <c r="G412" s="18">
        <v>77.2</v>
      </c>
      <c r="H412" s="18">
        <v>74.849999999999994</v>
      </c>
      <c r="I412" s="18">
        <v>100121472</v>
      </c>
      <c r="J412" s="18">
        <v>1337605</v>
      </c>
    </row>
    <row r="413" spans="1:10" x14ac:dyDescent="0.3">
      <c r="A413" s="18" t="s">
        <v>446</v>
      </c>
      <c r="B413" s="18">
        <v>40.020000000000003</v>
      </c>
      <c r="C413" s="18" t="s">
        <v>1451</v>
      </c>
      <c r="D413" s="18" t="s">
        <v>1452</v>
      </c>
      <c r="E413" s="18">
        <v>-2.01E-2</v>
      </c>
      <c r="F413" s="18">
        <v>39.72</v>
      </c>
      <c r="G413" s="18">
        <v>41.18</v>
      </c>
      <c r="H413" s="18">
        <v>40.35</v>
      </c>
      <c r="I413" s="18">
        <v>31497732</v>
      </c>
      <c r="J413" s="18">
        <v>780674</v>
      </c>
    </row>
    <row r="414" spans="1:10" x14ac:dyDescent="0.3">
      <c r="A414" s="18" t="s">
        <v>447</v>
      </c>
      <c r="B414" s="18">
        <v>83.15</v>
      </c>
      <c r="C414" s="18" t="s">
        <v>1453</v>
      </c>
      <c r="D414" s="18" t="s">
        <v>1454</v>
      </c>
      <c r="E414" s="18">
        <v>-1.3599999999999999E-2</v>
      </c>
      <c r="F414" s="18">
        <v>82.5</v>
      </c>
      <c r="G414" s="18">
        <v>84.1</v>
      </c>
      <c r="H414" s="18">
        <v>83.04</v>
      </c>
      <c r="I414" s="18">
        <v>11096155</v>
      </c>
      <c r="J414" s="18">
        <v>133625</v>
      </c>
    </row>
    <row r="415" spans="1:10" x14ac:dyDescent="0.3">
      <c r="A415" s="18" t="s">
        <v>448</v>
      </c>
      <c r="B415" s="18">
        <v>60.8</v>
      </c>
      <c r="C415" s="18" t="s">
        <v>767</v>
      </c>
      <c r="D415" s="18" t="s">
        <v>1455</v>
      </c>
      <c r="E415" s="18">
        <v>-2.0899999999999998E-2</v>
      </c>
      <c r="F415" s="18">
        <v>60.8</v>
      </c>
      <c r="G415" s="18">
        <v>62.8</v>
      </c>
      <c r="H415" s="18">
        <v>61.7</v>
      </c>
      <c r="I415" s="18">
        <v>54377068</v>
      </c>
      <c r="J415" s="18">
        <v>881295</v>
      </c>
    </row>
    <row r="416" spans="1:10" x14ac:dyDescent="0.3">
      <c r="A416" s="18" t="s">
        <v>449</v>
      </c>
      <c r="B416" s="18">
        <v>7.27</v>
      </c>
      <c r="C416" s="18" t="s">
        <v>671</v>
      </c>
      <c r="D416" s="18" t="s">
        <v>1456</v>
      </c>
      <c r="E416" s="18">
        <v>-3.0700000000000002E-2</v>
      </c>
      <c r="F416" s="18">
        <v>7.23</v>
      </c>
      <c r="G416" s="18">
        <v>7.48</v>
      </c>
      <c r="H416" s="18">
        <v>7.32</v>
      </c>
      <c r="I416" s="18">
        <v>5297527</v>
      </c>
      <c r="J416" s="18">
        <v>723798</v>
      </c>
    </row>
    <row r="417" spans="1:10" x14ac:dyDescent="0.3">
      <c r="A417" s="18" t="s">
        <v>450</v>
      </c>
      <c r="B417" s="18">
        <v>76.150000000000006</v>
      </c>
      <c r="C417" s="18" t="s">
        <v>841</v>
      </c>
      <c r="D417" s="18" t="s">
        <v>1457</v>
      </c>
      <c r="E417" s="18">
        <v>-3.2399999999999998E-2</v>
      </c>
      <c r="F417" s="18">
        <v>75.650000000000006</v>
      </c>
      <c r="G417" s="18">
        <v>80.099999999999994</v>
      </c>
      <c r="H417" s="18">
        <v>77.31</v>
      </c>
      <c r="I417" s="18">
        <v>115606065</v>
      </c>
      <c r="J417" s="18">
        <v>1495370</v>
      </c>
    </row>
    <row r="418" spans="1:10" x14ac:dyDescent="0.3">
      <c r="A418" s="18" t="s">
        <v>451</v>
      </c>
      <c r="B418" s="18">
        <v>150.1</v>
      </c>
      <c r="C418" s="18" t="s">
        <v>1458</v>
      </c>
      <c r="D418" s="18" t="s">
        <v>1459</v>
      </c>
      <c r="E418" s="18">
        <v>-1.9E-2</v>
      </c>
      <c r="F418" s="18">
        <v>145.6</v>
      </c>
      <c r="G418" s="18">
        <v>150.1</v>
      </c>
      <c r="H418" s="18">
        <v>148.94</v>
      </c>
      <c r="I418" s="18">
        <v>1928264</v>
      </c>
      <c r="J418" s="18">
        <v>12947</v>
      </c>
    </row>
    <row r="419" spans="1:10" x14ac:dyDescent="0.3">
      <c r="A419" s="18" t="s">
        <v>452</v>
      </c>
      <c r="B419" s="18">
        <v>7.23</v>
      </c>
      <c r="C419" s="18" t="s">
        <v>842</v>
      </c>
      <c r="D419" s="18" t="s">
        <v>1131</v>
      </c>
      <c r="E419" s="18">
        <v>-3.8600000000000002E-2</v>
      </c>
      <c r="F419" s="18">
        <v>7.19</v>
      </c>
      <c r="G419" s="18">
        <v>7.52</v>
      </c>
      <c r="H419" s="18">
        <v>7.28</v>
      </c>
      <c r="I419" s="18">
        <v>23957547</v>
      </c>
      <c r="J419" s="18">
        <v>3289009</v>
      </c>
    </row>
    <row r="420" spans="1:10" x14ac:dyDescent="0.3">
      <c r="A420" s="18" t="s">
        <v>453</v>
      </c>
      <c r="B420" s="18">
        <v>3.96</v>
      </c>
      <c r="C420" s="18" t="s">
        <v>843</v>
      </c>
      <c r="D420" s="18" t="s">
        <v>1460</v>
      </c>
      <c r="E420" s="18">
        <v>-1.2500000000000001E-2</v>
      </c>
      <c r="F420" s="18">
        <v>3.92</v>
      </c>
      <c r="G420" s="18">
        <v>4.04</v>
      </c>
      <c r="H420" s="18">
        <v>3.99</v>
      </c>
      <c r="I420" s="18">
        <v>50186750</v>
      </c>
      <c r="J420" s="18">
        <v>12576796</v>
      </c>
    </row>
    <row r="421" spans="1:10" x14ac:dyDescent="0.3">
      <c r="A421" s="18" t="s">
        <v>454</v>
      </c>
      <c r="B421" s="18">
        <v>388</v>
      </c>
      <c r="C421" s="18" t="s">
        <v>1461</v>
      </c>
      <c r="D421" s="18" t="s">
        <v>1462</v>
      </c>
      <c r="E421" s="18">
        <v>5.1999999999999998E-3</v>
      </c>
      <c r="F421" s="18">
        <v>377.75</v>
      </c>
      <c r="G421" s="18">
        <v>390.75</v>
      </c>
      <c r="H421" s="18">
        <v>385.26</v>
      </c>
      <c r="I421" s="18">
        <v>98654727</v>
      </c>
      <c r="J421" s="18">
        <v>256074</v>
      </c>
    </row>
    <row r="422" spans="1:10" x14ac:dyDescent="0.3">
      <c r="A422" s="18" t="s">
        <v>455</v>
      </c>
      <c r="B422" s="18">
        <v>384.25</v>
      </c>
      <c r="C422" s="18" t="s">
        <v>1463</v>
      </c>
      <c r="D422" s="18" t="s">
        <v>1464</v>
      </c>
      <c r="E422" s="18">
        <v>1.2999999999999999E-3</v>
      </c>
      <c r="F422" s="18">
        <v>383.5</v>
      </c>
      <c r="G422" s="18">
        <v>386</v>
      </c>
      <c r="H422" s="18">
        <v>384.6</v>
      </c>
      <c r="I422" s="18">
        <v>12108449</v>
      </c>
      <c r="J422" s="18">
        <v>31483</v>
      </c>
    </row>
    <row r="423" spans="1:10" x14ac:dyDescent="0.3">
      <c r="A423" s="18" t="s">
        <v>456</v>
      </c>
      <c r="B423" s="18">
        <v>21</v>
      </c>
      <c r="C423" s="18" t="s">
        <v>1465</v>
      </c>
      <c r="D423" s="18" t="s">
        <v>1466</v>
      </c>
      <c r="E423" s="18">
        <v>2.8999999999999998E-3</v>
      </c>
      <c r="F423" s="18">
        <v>20.74</v>
      </c>
      <c r="G423" s="18">
        <v>21.64</v>
      </c>
      <c r="H423" s="18">
        <v>21.16</v>
      </c>
      <c r="I423" s="18">
        <v>544419131</v>
      </c>
      <c r="J423" s="18">
        <v>25734858</v>
      </c>
    </row>
    <row r="424" spans="1:10" x14ac:dyDescent="0.3">
      <c r="A424" s="18" t="s">
        <v>457</v>
      </c>
      <c r="B424" s="18">
        <v>25.54</v>
      </c>
      <c r="C424" s="18" t="s">
        <v>1467</v>
      </c>
      <c r="D424" s="18" t="s">
        <v>905</v>
      </c>
      <c r="E424" s="18">
        <v>-2.07E-2</v>
      </c>
      <c r="F424" s="18">
        <v>24.7</v>
      </c>
      <c r="G424" s="18">
        <v>26.98</v>
      </c>
      <c r="H424" s="18">
        <v>25.7</v>
      </c>
      <c r="I424" s="18">
        <v>6224202</v>
      </c>
      <c r="J424" s="18">
        <v>242167</v>
      </c>
    </row>
    <row r="425" spans="1:10" x14ac:dyDescent="0.3">
      <c r="A425" s="18" t="s">
        <v>458</v>
      </c>
      <c r="B425" s="18">
        <v>7.15</v>
      </c>
      <c r="C425" s="18" t="s">
        <v>1468</v>
      </c>
      <c r="D425" s="18" t="s">
        <v>1469</v>
      </c>
      <c r="E425" s="18">
        <v>-1.6500000000000001E-2</v>
      </c>
      <c r="F425" s="18">
        <v>7.07</v>
      </c>
      <c r="G425" s="18">
        <v>7.31</v>
      </c>
      <c r="H425" s="18">
        <v>7.21</v>
      </c>
      <c r="I425" s="18">
        <v>2075220</v>
      </c>
      <c r="J425" s="18">
        <v>287738</v>
      </c>
    </row>
    <row r="426" spans="1:10" x14ac:dyDescent="0.3">
      <c r="A426" s="18" t="s">
        <v>459</v>
      </c>
      <c r="B426" s="18">
        <v>27.72</v>
      </c>
      <c r="C426" s="18" t="s">
        <v>813</v>
      </c>
      <c r="D426" s="18" t="s">
        <v>889</v>
      </c>
      <c r="E426" s="18">
        <v>-2.81E-2</v>
      </c>
      <c r="F426" s="18">
        <v>27.42</v>
      </c>
      <c r="G426" s="18">
        <v>28.56</v>
      </c>
      <c r="H426" s="18">
        <v>27.82</v>
      </c>
      <c r="I426" s="18">
        <v>6851726</v>
      </c>
      <c r="J426" s="18">
        <v>246309</v>
      </c>
    </row>
    <row r="427" spans="1:10" x14ac:dyDescent="0.3">
      <c r="A427" s="18" t="s">
        <v>460</v>
      </c>
      <c r="B427" s="18">
        <v>122.1</v>
      </c>
      <c r="C427" s="18" t="s">
        <v>1470</v>
      </c>
      <c r="D427" s="18" t="s">
        <v>1471</v>
      </c>
      <c r="E427" s="18">
        <v>-1.6000000000000001E-3</v>
      </c>
      <c r="F427" s="18">
        <v>122</v>
      </c>
      <c r="G427" s="18">
        <v>125.6</v>
      </c>
      <c r="H427" s="18">
        <v>122.58</v>
      </c>
      <c r="I427" s="18">
        <v>156600119</v>
      </c>
      <c r="J427" s="18">
        <v>1277580</v>
      </c>
    </row>
    <row r="428" spans="1:10" x14ac:dyDescent="0.3">
      <c r="A428" s="18" t="s">
        <v>461</v>
      </c>
      <c r="B428" s="18">
        <v>5.27</v>
      </c>
      <c r="C428" s="18" t="s">
        <v>815</v>
      </c>
      <c r="D428" s="18" t="s">
        <v>847</v>
      </c>
      <c r="E428" s="18">
        <v>3.5400000000000001E-2</v>
      </c>
      <c r="F428" s="18">
        <v>5.05</v>
      </c>
      <c r="G428" s="18">
        <v>5.45</v>
      </c>
      <c r="H428" s="18">
        <v>5.31</v>
      </c>
      <c r="I428" s="18">
        <v>34909405</v>
      </c>
      <c r="J428" s="18">
        <v>6573232</v>
      </c>
    </row>
    <row r="429" spans="1:10" x14ac:dyDescent="0.3">
      <c r="A429" s="18" t="s">
        <v>462</v>
      </c>
      <c r="B429" s="18">
        <v>9.9499999999999993</v>
      </c>
      <c r="C429" s="18" t="s">
        <v>849</v>
      </c>
      <c r="D429" s="18" t="s">
        <v>1472</v>
      </c>
      <c r="E429" s="18">
        <v>-0.01</v>
      </c>
      <c r="F429" s="18">
        <v>9.91</v>
      </c>
      <c r="G429" s="18">
        <v>10.119999999999999</v>
      </c>
      <c r="H429" s="18">
        <v>9.9700000000000006</v>
      </c>
      <c r="I429" s="18">
        <v>51579940</v>
      </c>
      <c r="J429" s="18">
        <v>5176222</v>
      </c>
    </row>
    <row r="430" spans="1:10" x14ac:dyDescent="0.3">
      <c r="A430" s="18" t="s">
        <v>463</v>
      </c>
      <c r="B430" s="18">
        <v>7.63</v>
      </c>
      <c r="C430" s="18" t="s">
        <v>1473</v>
      </c>
      <c r="D430" s="18" t="s">
        <v>1411</v>
      </c>
      <c r="E430" s="18">
        <v>-9.1000000000000004E-3</v>
      </c>
      <c r="F430" s="18">
        <v>7.45</v>
      </c>
      <c r="G430" s="18">
        <v>7.65</v>
      </c>
      <c r="H430" s="18">
        <v>7.55</v>
      </c>
      <c r="I430" s="18">
        <v>1857957</v>
      </c>
      <c r="J430" s="18">
        <v>245992</v>
      </c>
    </row>
    <row r="431" spans="1:10" x14ac:dyDescent="0.3">
      <c r="A431" s="18" t="s">
        <v>464</v>
      </c>
      <c r="B431" s="18">
        <v>25</v>
      </c>
      <c r="C431" s="18" t="s">
        <v>1474</v>
      </c>
      <c r="D431" s="18" t="s">
        <v>1475</v>
      </c>
      <c r="E431" s="18">
        <v>4.6899999999999997E-2</v>
      </c>
      <c r="F431" s="18">
        <v>23.8</v>
      </c>
      <c r="G431" s="18">
        <v>25.26</v>
      </c>
      <c r="H431" s="18">
        <v>24.75</v>
      </c>
      <c r="I431" s="18">
        <v>53841958</v>
      </c>
      <c r="J431" s="18">
        <v>2175057</v>
      </c>
    </row>
    <row r="432" spans="1:10" x14ac:dyDescent="0.3">
      <c r="A432" s="18" t="s">
        <v>465</v>
      </c>
      <c r="B432" s="18">
        <v>27.6</v>
      </c>
      <c r="C432" s="18" t="s">
        <v>1476</v>
      </c>
      <c r="D432" s="18" t="s">
        <v>1477</v>
      </c>
      <c r="E432" s="18">
        <v>8.8000000000000005E-3</v>
      </c>
      <c r="F432" s="18">
        <v>27.04</v>
      </c>
      <c r="G432" s="18">
        <v>27.74</v>
      </c>
      <c r="H432" s="18">
        <v>27.39</v>
      </c>
      <c r="I432" s="18">
        <v>40558645</v>
      </c>
      <c r="J432" s="18">
        <v>1480997</v>
      </c>
    </row>
    <row r="433" spans="1:10" x14ac:dyDescent="0.3">
      <c r="A433" s="18" t="s">
        <v>466</v>
      </c>
      <c r="B433" s="18">
        <v>72.400000000000006</v>
      </c>
      <c r="C433" s="18" t="s">
        <v>1478</v>
      </c>
      <c r="D433" s="18" t="s">
        <v>733</v>
      </c>
      <c r="E433" s="18">
        <v>-2.4299999999999999E-2</v>
      </c>
      <c r="F433" s="18">
        <v>72.2</v>
      </c>
      <c r="G433" s="18">
        <v>74.900000000000006</v>
      </c>
      <c r="H433" s="18">
        <v>72.88</v>
      </c>
      <c r="I433" s="18">
        <v>8802606</v>
      </c>
      <c r="J433" s="18">
        <v>120782</v>
      </c>
    </row>
    <row r="434" spans="1:10" x14ac:dyDescent="0.3">
      <c r="A434" s="18" t="s">
        <v>467</v>
      </c>
      <c r="B434" s="18">
        <v>80</v>
      </c>
      <c r="C434" s="18" t="s">
        <v>1479</v>
      </c>
      <c r="D434" s="18" t="s">
        <v>1216</v>
      </c>
      <c r="E434" s="18">
        <v>-5.9999999999999995E-4</v>
      </c>
      <c r="F434" s="18">
        <v>79.2</v>
      </c>
      <c r="G434" s="18">
        <v>80.55</v>
      </c>
      <c r="H434" s="18">
        <v>79.91</v>
      </c>
      <c r="I434" s="18">
        <v>5794757</v>
      </c>
      <c r="J434" s="18">
        <v>72519</v>
      </c>
    </row>
    <row r="435" spans="1:10" x14ac:dyDescent="0.3">
      <c r="A435" s="18" t="s">
        <v>468</v>
      </c>
      <c r="B435" s="18">
        <v>33.96</v>
      </c>
      <c r="C435" s="18" t="s">
        <v>851</v>
      </c>
      <c r="D435" s="18" t="s">
        <v>1392</v>
      </c>
      <c r="E435" s="18">
        <v>3.2199999999999999E-2</v>
      </c>
      <c r="F435" s="18">
        <v>33.200000000000003</v>
      </c>
      <c r="G435" s="18">
        <v>34.799999999999997</v>
      </c>
      <c r="H435" s="18">
        <v>33.94</v>
      </c>
      <c r="I435" s="18">
        <v>556808684</v>
      </c>
      <c r="J435" s="18">
        <v>16405671</v>
      </c>
    </row>
    <row r="436" spans="1:10" x14ac:dyDescent="0.3">
      <c r="A436" s="18" t="s">
        <v>469</v>
      </c>
      <c r="B436" s="18">
        <v>76.7</v>
      </c>
      <c r="C436" s="18" t="s">
        <v>1480</v>
      </c>
      <c r="D436" s="18" t="s">
        <v>1481</v>
      </c>
      <c r="E436" s="18">
        <v>-2.4199999999999999E-2</v>
      </c>
      <c r="F436" s="18">
        <v>76.7</v>
      </c>
      <c r="G436" s="18">
        <v>78.7</v>
      </c>
      <c r="H436" s="18">
        <v>77.61</v>
      </c>
      <c r="I436" s="18">
        <v>13585981</v>
      </c>
      <c r="J436" s="18">
        <v>175053</v>
      </c>
    </row>
    <row r="437" spans="1:10" x14ac:dyDescent="0.3">
      <c r="A437" s="18" t="s">
        <v>470</v>
      </c>
      <c r="B437" s="18">
        <v>78.05</v>
      </c>
      <c r="C437" s="18" t="s">
        <v>853</v>
      </c>
      <c r="D437" s="18" t="s">
        <v>1482</v>
      </c>
      <c r="E437" s="18">
        <v>3.3799999999999997E-2</v>
      </c>
      <c r="F437" s="18">
        <v>75.099999999999994</v>
      </c>
      <c r="G437" s="18">
        <v>78.05</v>
      </c>
      <c r="H437" s="18">
        <v>77.37</v>
      </c>
      <c r="I437" s="18">
        <v>787675344</v>
      </c>
      <c r="J437" s="18">
        <v>10180776</v>
      </c>
    </row>
    <row r="438" spans="1:10" x14ac:dyDescent="0.3">
      <c r="A438" s="18" t="s">
        <v>471</v>
      </c>
      <c r="B438" s="18">
        <v>69.099999999999994</v>
      </c>
      <c r="C438" s="18" t="s">
        <v>1483</v>
      </c>
      <c r="D438" s="18" t="s">
        <v>1484</v>
      </c>
      <c r="E438" s="18">
        <v>-2.7400000000000001E-2</v>
      </c>
      <c r="F438" s="18">
        <v>68.849999999999994</v>
      </c>
      <c r="G438" s="18">
        <v>71.150000000000006</v>
      </c>
      <c r="H438" s="18">
        <v>69.66</v>
      </c>
      <c r="I438" s="18">
        <v>204147539</v>
      </c>
      <c r="J438" s="18">
        <v>2930688</v>
      </c>
    </row>
    <row r="439" spans="1:10" x14ac:dyDescent="0.3">
      <c r="A439" s="18" t="s">
        <v>472</v>
      </c>
      <c r="B439" s="18">
        <v>12.17</v>
      </c>
      <c r="C439" s="18" t="s">
        <v>1485</v>
      </c>
      <c r="D439" s="18" t="s">
        <v>1486</v>
      </c>
      <c r="E439" s="18">
        <v>-3.3399999999999999E-2</v>
      </c>
      <c r="F439" s="18">
        <v>12.15</v>
      </c>
      <c r="G439" s="18">
        <v>12.61</v>
      </c>
      <c r="H439" s="18">
        <v>12.38</v>
      </c>
      <c r="I439" s="18">
        <v>16815454</v>
      </c>
      <c r="J439" s="18">
        <v>1357974</v>
      </c>
    </row>
    <row r="440" spans="1:10" x14ac:dyDescent="0.3">
      <c r="A440" s="18" t="s">
        <v>473</v>
      </c>
      <c r="B440" s="18">
        <v>15.49</v>
      </c>
      <c r="C440" s="18" t="s">
        <v>1487</v>
      </c>
      <c r="D440" s="18" t="s">
        <v>1488</v>
      </c>
      <c r="E440" s="18">
        <v>9.1000000000000004E-3</v>
      </c>
      <c r="F440" s="18">
        <v>15.05</v>
      </c>
      <c r="G440" s="18">
        <v>15.73</v>
      </c>
      <c r="H440" s="18">
        <v>15.41</v>
      </c>
      <c r="I440" s="18">
        <v>2022674400</v>
      </c>
      <c r="J440" s="18">
        <v>131268438</v>
      </c>
    </row>
    <row r="441" spans="1:10" x14ac:dyDescent="0.3">
      <c r="A441" s="18" t="s">
        <v>474</v>
      </c>
      <c r="B441" s="18">
        <v>1.28</v>
      </c>
      <c r="C441" s="18" t="s">
        <v>1489</v>
      </c>
      <c r="D441" s="18" t="s">
        <v>1273</v>
      </c>
      <c r="E441" s="18">
        <v>-4.48E-2</v>
      </c>
      <c r="F441" s="18">
        <v>1.28</v>
      </c>
      <c r="G441" s="18">
        <v>1.34</v>
      </c>
      <c r="H441" s="18">
        <v>1.31</v>
      </c>
      <c r="I441" s="18">
        <v>148910306</v>
      </c>
      <c r="J441" s="18">
        <v>114079710</v>
      </c>
    </row>
    <row r="442" spans="1:10" x14ac:dyDescent="0.3">
      <c r="A442" s="18" t="s">
        <v>475</v>
      </c>
      <c r="B442" s="18">
        <v>7.46</v>
      </c>
      <c r="C442" s="18" t="s">
        <v>1490</v>
      </c>
      <c r="D442" s="18" t="s">
        <v>698</v>
      </c>
      <c r="E442" s="18">
        <v>-1.7100000000000001E-2</v>
      </c>
      <c r="F442" s="18">
        <v>7.38</v>
      </c>
      <c r="G442" s="18">
        <v>7.62</v>
      </c>
      <c r="H442" s="18">
        <v>7.49</v>
      </c>
      <c r="I442" s="18">
        <v>16349051</v>
      </c>
      <c r="J442" s="18">
        <v>2182022</v>
      </c>
    </row>
    <row r="443" spans="1:10" x14ac:dyDescent="0.3">
      <c r="A443" s="18" t="s">
        <v>476</v>
      </c>
      <c r="B443" s="18">
        <v>12.82</v>
      </c>
      <c r="C443" s="18" t="s">
        <v>1491</v>
      </c>
      <c r="D443" s="18" t="s">
        <v>857</v>
      </c>
      <c r="E443" s="18">
        <v>-1.6899999999999998E-2</v>
      </c>
      <c r="F443" s="18">
        <v>12.8</v>
      </c>
      <c r="G443" s="18">
        <v>13.08</v>
      </c>
      <c r="H443" s="18">
        <v>12.9</v>
      </c>
      <c r="I443" s="18">
        <v>24696145</v>
      </c>
      <c r="J443" s="18">
        <v>1914870</v>
      </c>
    </row>
    <row r="444" spans="1:10" x14ac:dyDescent="0.3">
      <c r="A444" s="18" t="s">
        <v>477</v>
      </c>
      <c r="B444" s="18">
        <v>16.3</v>
      </c>
      <c r="C444" s="18" t="s">
        <v>1492</v>
      </c>
      <c r="D444" s="18" t="s">
        <v>1493</v>
      </c>
      <c r="E444" s="18">
        <v>-6.7000000000000002E-3</v>
      </c>
      <c r="F444" s="18">
        <v>16.12</v>
      </c>
      <c r="G444" s="18">
        <v>16.43</v>
      </c>
      <c r="H444" s="18">
        <v>16.239999999999998</v>
      </c>
      <c r="I444" s="18">
        <v>598671593</v>
      </c>
      <c r="J444" s="18">
        <v>36866712</v>
      </c>
    </row>
    <row r="445" spans="1:10" x14ac:dyDescent="0.3">
      <c r="A445" s="18" t="s">
        <v>478</v>
      </c>
      <c r="B445" s="18">
        <v>8.75</v>
      </c>
      <c r="C445" s="18" t="s">
        <v>1494</v>
      </c>
      <c r="D445" s="18" t="s">
        <v>838</v>
      </c>
      <c r="E445" s="18">
        <v>-1.5699999999999999E-2</v>
      </c>
      <c r="F445" s="18">
        <v>8.68</v>
      </c>
      <c r="G445" s="18">
        <v>8.91</v>
      </c>
      <c r="H445" s="18">
        <v>8.75</v>
      </c>
      <c r="I445" s="18">
        <v>7555390</v>
      </c>
      <c r="J445" s="18">
        <v>863916</v>
      </c>
    </row>
    <row r="446" spans="1:10" x14ac:dyDescent="0.3">
      <c r="A446" s="18" t="s">
        <v>479</v>
      </c>
      <c r="B446" s="18">
        <v>241.2</v>
      </c>
      <c r="C446" s="18" t="s">
        <v>1495</v>
      </c>
      <c r="D446" s="18" t="s">
        <v>1496</v>
      </c>
      <c r="E446" s="18">
        <v>1.1999999999999999E-3</v>
      </c>
      <c r="F446" s="18">
        <v>240</v>
      </c>
      <c r="G446" s="18">
        <v>244.3</v>
      </c>
      <c r="H446" s="18">
        <v>242.13</v>
      </c>
      <c r="I446" s="18">
        <v>1891791342</v>
      </c>
      <c r="J446" s="18">
        <v>7813091</v>
      </c>
    </row>
    <row r="447" spans="1:10" x14ac:dyDescent="0.3">
      <c r="A447" s="18" t="s">
        <v>480</v>
      </c>
      <c r="B447" s="18">
        <v>5.75</v>
      </c>
      <c r="C447" s="18" t="s">
        <v>674</v>
      </c>
      <c r="D447" s="18" t="s">
        <v>675</v>
      </c>
      <c r="E447" s="18">
        <v>-1.37E-2</v>
      </c>
      <c r="F447" s="18">
        <v>5.7</v>
      </c>
      <c r="G447" s="18">
        <v>5.85</v>
      </c>
      <c r="H447" s="18">
        <v>5.76</v>
      </c>
      <c r="I447" s="18">
        <v>9994653</v>
      </c>
      <c r="J447" s="18">
        <v>1735044</v>
      </c>
    </row>
    <row r="448" spans="1:10" x14ac:dyDescent="0.3">
      <c r="A448" s="18" t="s">
        <v>481</v>
      </c>
      <c r="B448" s="18">
        <v>67.349999999999994</v>
      </c>
      <c r="C448" s="18" t="s">
        <v>1497</v>
      </c>
      <c r="D448" s="18" t="s">
        <v>1498</v>
      </c>
      <c r="E448" s="18">
        <v>-6.0699999999999997E-2</v>
      </c>
      <c r="F448" s="18">
        <v>67.099999999999994</v>
      </c>
      <c r="G448" s="18">
        <v>71.900000000000006</v>
      </c>
      <c r="H448" s="18">
        <v>68.95</v>
      </c>
      <c r="I448" s="18">
        <v>19098683</v>
      </c>
      <c r="J448" s="18">
        <v>276996</v>
      </c>
    </row>
    <row r="449" spans="1:10" x14ac:dyDescent="0.3">
      <c r="A449" s="18" t="s">
        <v>482</v>
      </c>
      <c r="B449" s="18">
        <v>214.3</v>
      </c>
      <c r="C449" s="18" t="s">
        <v>1499</v>
      </c>
      <c r="D449" s="18" t="s">
        <v>1500</v>
      </c>
      <c r="E449" s="18">
        <v>-1.7399999999999999E-2</v>
      </c>
      <c r="F449" s="18">
        <v>210.5</v>
      </c>
      <c r="G449" s="18">
        <v>222.2</v>
      </c>
      <c r="H449" s="18">
        <v>215.17</v>
      </c>
      <c r="I449" s="18">
        <v>33337278</v>
      </c>
      <c r="J449" s="18">
        <v>154933</v>
      </c>
    </row>
    <row r="450" spans="1:10" x14ac:dyDescent="0.3">
      <c r="A450" s="18" t="s">
        <v>483</v>
      </c>
      <c r="B450" s="18">
        <v>25.56</v>
      </c>
      <c r="C450" s="18" t="s">
        <v>1467</v>
      </c>
      <c r="D450" s="18" t="s">
        <v>905</v>
      </c>
      <c r="E450" s="18">
        <v>-1.46E-2</v>
      </c>
      <c r="F450" s="18">
        <v>25.5</v>
      </c>
      <c r="G450" s="18">
        <v>26.08</v>
      </c>
      <c r="H450" s="18">
        <v>25.71</v>
      </c>
      <c r="I450" s="18">
        <v>47136031</v>
      </c>
      <c r="J450" s="18">
        <v>1833562</v>
      </c>
    </row>
    <row r="451" spans="1:10" x14ac:dyDescent="0.3">
      <c r="A451" s="18" t="s">
        <v>484</v>
      </c>
      <c r="B451" s="18">
        <v>30.22</v>
      </c>
      <c r="C451" s="18" t="s">
        <v>839</v>
      </c>
      <c r="D451" s="18" t="s">
        <v>1501</v>
      </c>
      <c r="E451" s="18">
        <v>1.2999999999999999E-3</v>
      </c>
      <c r="F451" s="18">
        <v>30.1</v>
      </c>
      <c r="G451" s="18">
        <v>30.7</v>
      </c>
      <c r="H451" s="18">
        <v>30.43</v>
      </c>
      <c r="I451" s="18">
        <v>16015954</v>
      </c>
      <c r="J451" s="18">
        <v>526247</v>
      </c>
    </row>
    <row r="452" spans="1:10" x14ac:dyDescent="0.3">
      <c r="A452" s="18" t="s">
        <v>485</v>
      </c>
      <c r="B452" s="18">
        <v>8.68</v>
      </c>
      <c r="C452" s="18" t="s">
        <v>1502</v>
      </c>
      <c r="D452" s="18" t="s">
        <v>715</v>
      </c>
      <c r="E452" s="18">
        <v>-2.47E-2</v>
      </c>
      <c r="F452" s="18">
        <v>8.64</v>
      </c>
      <c r="G452" s="18">
        <v>8.93</v>
      </c>
      <c r="H452" s="18">
        <v>8.73</v>
      </c>
      <c r="I452" s="18">
        <v>11122076</v>
      </c>
      <c r="J452" s="18">
        <v>1273985</v>
      </c>
    </row>
    <row r="453" spans="1:10" x14ac:dyDescent="0.3">
      <c r="A453" s="18" t="s">
        <v>486</v>
      </c>
      <c r="B453" s="18">
        <v>19.3</v>
      </c>
      <c r="C453" s="18" t="s">
        <v>1503</v>
      </c>
      <c r="D453" s="18" t="s">
        <v>745</v>
      </c>
      <c r="E453" s="18">
        <v>-2.53E-2</v>
      </c>
      <c r="F453" s="18">
        <v>19.100000000000001</v>
      </c>
      <c r="G453" s="18">
        <v>19.96</v>
      </c>
      <c r="H453" s="18">
        <v>19.489999999999998</v>
      </c>
      <c r="I453" s="18">
        <v>103853961</v>
      </c>
      <c r="J453" s="18">
        <v>5329133</v>
      </c>
    </row>
    <row r="454" spans="1:10" x14ac:dyDescent="0.3">
      <c r="A454" s="18" t="s">
        <v>487</v>
      </c>
      <c r="B454" s="18">
        <v>6172.5</v>
      </c>
      <c r="C454" s="18" t="s">
        <v>1504</v>
      </c>
      <c r="D454" s="18" t="s">
        <v>1505</v>
      </c>
      <c r="E454" s="18">
        <v>2.41E-2</v>
      </c>
      <c r="F454" s="18">
        <v>5962.5</v>
      </c>
      <c r="G454" s="18">
        <v>6172.5</v>
      </c>
      <c r="H454" s="18">
        <v>6045.33</v>
      </c>
      <c r="I454" s="18">
        <v>13438775</v>
      </c>
      <c r="J454" s="18">
        <v>2223</v>
      </c>
    </row>
    <row r="455" spans="1:10" x14ac:dyDescent="0.3">
      <c r="A455" s="18" t="s">
        <v>488</v>
      </c>
      <c r="B455" s="18">
        <v>5.52</v>
      </c>
      <c r="C455" s="18" t="s">
        <v>645</v>
      </c>
      <c r="D455" s="18" t="s">
        <v>770</v>
      </c>
      <c r="E455" s="18">
        <v>-1.78E-2</v>
      </c>
      <c r="F455" s="18">
        <v>5.5</v>
      </c>
      <c r="G455" s="18">
        <v>5.85</v>
      </c>
      <c r="H455" s="18">
        <v>5.63</v>
      </c>
      <c r="I455" s="18">
        <v>32633273</v>
      </c>
      <c r="J455" s="18">
        <v>5796428</v>
      </c>
    </row>
    <row r="456" spans="1:10" x14ac:dyDescent="0.3">
      <c r="A456" s="18" t="s">
        <v>489</v>
      </c>
      <c r="B456" s="18">
        <v>26.42</v>
      </c>
      <c r="C456" s="18" t="s">
        <v>1506</v>
      </c>
      <c r="D456" s="18" t="s">
        <v>1507</v>
      </c>
      <c r="E456" s="18">
        <v>-6.7999999999999996E-3</v>
      </c>
      <c r="F456" s="18">
        <v>26.16</v>
      </c>
      <c r="G456" s="18">
        <v>26.76</v>
      </c>
      <c r="H456" s="18">
        <v>26.37</v>
      </c>
      <c r="I456" s="18">
        <v>7524484</v>
      </c>
      <c r="J456" s="18">
        <v>285326</v>
      </c>
    </row>
    <row r="457" spans="1:10" x14ac:dyDescent="0.3">
      <c r="A457" s="18" t="s">
        <v>490</v>
      </c>
      <c r="B457" s="18">
        <v>17.05</v>
      </c>
      <c r="C457" s="18" t="s">
        <v>1508</v>
      </c>
      <c r="D457" s="18" t="s">
        <v>859</v>
      </c>
      <c r="E457" s="18">
        <v>-5.3E-3</v>
      </c>
      <c r="F457" s="18">
        <v>16.88</v>
      </c>
      <c r="G457" s="18">
        <v>17.350000000000001</v>
      </c>
      <c r="H457" s="18">
        <v>17.02</v>
      </c>
      <c r="I457" s="18">
        <v>9580185</v>
      </c>
      <c r="J457" s="18">
        <v>563037</v>
      </c>
    </row>
    <row r="458" spans="1:10" x14ac:dyDescent="0.3">
      <c r="A458" s="18" t="s">
        <v>491</v>
      </c>
      <c r="B458" s="18">
        <v>12.7</v>
      </c>
      <c r="C458" s="18" t="s">
        <v>1509</v>
      </c>
      <c r="D458" s="18" t="s">
        <v>1510</v>
      </c>
      <c r="E458" s="18">
        <v>2.3999999999999998E-3</v>
      </c>
      <c r="F458" s="18">
        <v>12.62</v>
      </c>
      <c r="G458" s="18">
        <v>12.78</v>
      </c>
      <c r="H458" s="18">
        <v>12.72</v>
      </c>
      <c r="I458" s="18">
        <v>7291396</v>
      </c>
      <c r="J458" s="18">
        <v>573436</v>
      </c>
    </row>
    <row r="459" spans="1:10" x14ac:dyDescent="0.3">
      <c r="A459" s="18" t="s">
        <v>492</v>
      </c>
      <c r="B459" s="18">
        <v>95</v>
      </c>
      <c r="C459" s="18" t="s">
        <v>1511</v>
      </c>
      <c r="D459" s="18" t="s">
        <v>1512</v>
      </c>
      <c r="E459" s="18">
        <v>2.93E-2</v>
      </c>
      <c r="F459" s="18">
        <v>87.9</v>
      </c>
      <c r="G459" s="18">
        <v>95.5</v>
      </c>
      <c r="H459" s="18">
        <v>90.37</v>
      </c>
      <c r="I459" s="18">
        <v>15531496</v>
      </c>
      <c r="J459" s="18">
        <v>171860</v>
      </c>
    </row>
    <row r="460" spans="1:10" x14ac:dyDescent="0.3">
      <c r="A460" s="18" t="s">
        <v>493</v>
      </c>
      <c r="B460" s="18">
        <v>1.71</v>
      </c>
      <c r="C460" s="18" t="s">
        <v>861</v>
      </c>
      <c r="D460" s="18" t="s">
        <v>862</v>
      </c>
      <c r="E460" s="18">
        <v>-1.1599999999999999E-2</v>
      </c>
      <c r="F460" s="18">
        <v>1.7</v>
      </c>
      <c r="G460" s="18">
        <v>1.75</v>
      </c>
      <c r="H460" s="18">
        <v>1.72</v>
      </c>
      <c r="I460" s="18">
        <v>105374178</v>
      </c>
      <c r="J460" s="18">
        <v>61165895</v>
      </c>
    </row>
    <row r="461" spans="1:10" x14ac:dyDescent="0.3">
      <c r="A461" s="18" t="s">
        <v>494</v>
      </c>
      <c r="B461" s="18">
        <v>31.2</v>
      </c>
      <c r="C461" s="18" t="s">
        <v>1513</v>
      </c>
      <c r="D461" s="18" t="s">
        <v>1514</v>
      </c>
      <c r="E461" s="18">
        <v>-3.1099999999999999E-2</v>
      </c>
      <c r="F461" s="18">
        <v>31.2</v>
      </c>
      <c r="G461" s="18">
        <v>32.200000000000003</v>
      </c>
      <c r="H461" s="18">
        <v>31.42</v>
      </c>
      <c r="I461" s="18">
        <v>1156212</v>
      </c>
      <c r="J461" s="18">
        <v>36796</v>
      </c>
    </row>
    <row r="462" spans="1:10" x14ac:dyDescent="0.3">
      <c r="A462" s="18" t="s">
        <v>495</v>
      </c>
      <c r="B462" s="18">
        <v>259</v>
      </c>
      <c r="C462" s="18" t="s">
        <v>1515</v>
      </c>
      <c r="D462" s="18" t="s">
        <v>1516</v>
      </c>
      <c r="E462" s="18">
        <v>-2.0799999999999999E-2</v>
      </c>
      <c r="F462" s="18">
        <v>259</v>
      </c>
      <c r="G462" s="18">
        <v>264.5</v>
      </c>
      <c r="H462" s="18">
        <v>260.7</v>
      </c>
      <c r="I462" s="18">
        <v>1623354</v>
      </c>
      <c r="J462" s="18">
        <v>6227</v>
      </c>
    </row>
    <row r="463" spans="1:10" x14ac:dyDescent="0.3">
      <c r="A463" s="18" t="s">
        <v>496</v>
      </c>
      <c r="B463" s="18">
        <v>5.58</v>
      </c>
      <c r="C463" s="18" t="s">
        <v>760</v>
      </c>
      <c r="D463" s="18" t="s">
        <v>1517</v>
      </c>
      <c r="E463" s="18">
        <v>-1.7600000000000001E-2</v>
      </c>
      <c r="F463" s="18">
        <v>5.55</v>
      </c>
      <c r="G463" s="18">
        <v>5.68</v>
      </c>
      <c r="H463" s="18">
        <v>5.61</v>
      </c>
      <c r="I463" s="18">
        <v>248303584</v>
      </c>
      <c r="J463" s="18">
        <v>44225879</v>
      </c>
    </row>
    <row r="464" spans="1:10" x14ac:dyDescent="0.3">
      <c r="A464" s="18" t="s">
        <v>497</v>
      </c>
      <c r="B464" s="18">
        <v>131.19999999999999</v>
      </c>
      <c r="C464" s="18" t="s">
        <v>1518</v>
      </c>
      <c r="D464" s="18" t="s">
        <v>1519</v>
      </c>
      <c r="E464" s="18">
        <v>-4.3700000000000003E-2</v>
      </c>
      <c r="F464" s="18">
        <v>130.5</v>
      </c>
      <c r="G464" s="18">
        <v>140.19999999999999</v>
      </c>
      <c r="H464" s="18">
        <v>132.69999999999999</v>
      </c>
      <c r="I464" s="18">
        <v>889744015</v>
      </c>
      <c r="J464" s="18">
        <v>6705187</v>
      </c>
    </row>
    <row r="465" spans="1:10" x14ac:dyDescent="0.3">
      <c r="A465" s="18" t="s">
        <v>498</v>
      </c>
      <c r="B465" s="18">
        <v>225</v>
      </c>
      <c r="C465" s="18" t="s">
        <v>863</v>
      </c>
      <c r="D465" s="18" t="s">
        <v>1520</v>
      </c>
      <c r="E465" s="18">
        <v>-2.3900000000000001E-2</v>
      </c>
      <c r="F465" s="18">
        <v>224.2</v>
      </c>
      <c r="G465" s="18">
        <v>232</v>
      </c>
      <c r="H465" s="18">
        <v>226.96</v>
      </c>
      <c r="I465" s="18">
        <v>71037571</v>
      </c>
      <c r="J465" s="18">
        <v>313001</v>
      </c>
    </row>
    <row r="466" spans="1:10" x14ac:dyDescent="0.3">
      <c r="A466" s="18" t="s">
        <v>499</v>
      </c>
      <c r="B466" s="18">
        <v>11.48</v>
      </c>
      <c r="C466" s="18" t="s">
        <v>1521</v>
      </c>
      <c r="D466" s="18" t="s">
        <v>1522</v>
      </c>
      <c r="E466" s="18">
        <v>-2.7099999999999999E-2</v>
      </c>
      <c r="F466" s="18">
        <v>11.48</v>
      </c>
      <c r="G466" s="18">
        <v>11.8</v>
      </c>
      <c r="H466" s="18">
        <v>11.58</v>
      </c>
      <c r="I466" s="18">
        <v>143730375</v>
      </c>
      <c r="J466" s="18">
        <v>12407584</v>
      </c>
    </row>
    <row r="467" spans="1:10" x14ac:dyDescent="0.3">
      <c r="A467" s="18" t="s">
        <v>500</v>
      </c>
      <c r="B467" s="18">
        <v>121.7</v>
      </c>
      <c r="C467" s="18" t="s">
        <v>867</v>
      </c>
      <c r="D467" s="18" t="s">
        <v>1523</v>
      </c>
      <c r="E467" s="18">
        <v>-1.2999999999999999E-2</v>
      </c>
      <c r="F467" s="18">
        <v>121.6</v>
      </c>
      <c r="G467" s="18">
        <v>124</v>
      </c>
      <c r="H467" s="18">
        <v>122.77</v>
      </c>
      <c r="I467" s="18">
        <v>53537317</v>
      </c>
      <c r="J467" s="18">
        <v>436070</v>
      </c>
    </row>
    <row r="468" spans="1:10" x14ac:dyDescent="0.3">
      <c r="A468" s="18" t="s">
        <v>501</v>
      </c>
      <c r="B468" s="18">
        <v>30.98</v>
      </c>
      <c r="C468" s="18" t="s">
        <v>1524</v>
      </c>
      <c r="D468" s="18" t="s">
        <v>1525</v>
      </c>
      <c r="E468" s="18">
        <v>2.6499999999999999E-2</v>
      </c>
      <c r="F468" s="18">
        <v>29.3</v>
      </c>
      <c r="G468" s="18">
        <v>31.96</v>
      </c>
      <c r="H468" s="18">
        <v>30.68</v>
      </c>
      <c r="I468" s="18">
        <v>8121979</v>
      </c>
      <c r="J468" s="18">
        <v>264729</v>
      </c>
    </row>
    <row r="469" spans="1:10" x14ac:dyDescent="0.3">
      <c r="A469" s="18" t="s">
        <v>502</v>
      </c>
      <c r="B469" s="18">
        <v>15.71</v>
      </c>
      <c r="C469" s="18" t="s">
        <v>1526</v>
      </c>
      <c r="D469" s="18" t="s">
        <v>1527</v>
      </c>
      <c r="E469" s="18">
        <v>-1.1900000000000001E-2</v>
      </c>
      <c r="F469" s="18">
        <v>15.65</v>
      </c>
      <c r="G469" s="18">
        <v>15.9</v>
      </c>
      <c r="H469" s="18">
        <v>15.77</v>
      </c>
      <c r="I469" s="18">
        <v>926036</v>
      </c>
      <c r="J469" s="18">
        <v>58723</v>
      </c>
    </row>
    <row r="470" spans="1:10" x14ac:dyDescent="0.3">
      <c r="A470" s="18" t="s">
        <v>503</v>
      </c>
      <c r="B470" s="18">
        <v>6.8</v>
      </c>
      <c r="C470" s="18" t="s">
        <v>89</v>
      </c>
      <c r="D470" s="18" t="s">
        <v>89</v>
      </c>
      <c r="E470" s="18">
        <v>0</v>
      </c>
      <c r="F470" s="18">
        <v>0</v>
      </c>
      <c r="G470" s="18">
        <v>0</v>
      </c>
      <c r="H470" s="18">
        <v>0</v>
      </c>
      <c r="I470" s="18">
        <v>0</v>
      </c>
      <c r="J470" s="18">
        <v>0</v>
      </c>
    </row>
    <row r="471" spans="1:10" x14ac:dyDescent="0.3">
      <c r="A471" s="18" t="s">
        <v>504</v>
      </c>
      <c r="B471" s="18">
        <v>2.8</v>
      </c>
      <c r="C471" s="18" t="s">
        <v>868</v>
      </c>
      <c r="D471" s="18" t="s">
        <v>1528</v>
      </c>
      <c r="E471" s="18">
        <v>-2.1000000000000001E-2</v>
      </c>
      <c r="F471" s="18">
        <v>2.78</v>
      </c>
      <c r="G471" s="18">
        <v>2.87</v>
      </c>
      <c r="H471" s="18">
        <v>2.81</v>
      </c>
      <c r="I471" s="18">
        <v>36826189</v>
      </c>
      <c r="J471" s="18">
        <v>13096375</v>
      </c>
    </row>
    <row r="472" spans="1:10" x14ac:dyDescent="0.3">
      <c r="A472" s="18" t="s">
        <v>505</v>
      </c>
      <c r="B472" s="18">
        <v>19.03</v>
      </c>
      <c r="C472" s="18" t="s">
        <v>1163</v>
      </c>
      <c r="D472" s="18" t="s">
        <v>901</v>
      </c>
      <c r="E472" s="18">
        <v>-6.4399999999999999E-2</v>
      </c>
      <c r="F472" s="18">
        <v>19.02</v>
      </c>
      <c r="G472" s="18">
        <v>20.399999999999999</v>
      </c>
      <c r="H472" s="18">
        <v>19.48</v>
      </c>
      <c r="I472" s="18">
        <v>57960835</v>
      </c>
      <c r="J472" s="18">
        <v>2976093</v>
      </c>
    </row>
    <row r="473" spans="1:10" x14ac:dyDescent="0.3">
      <c r="A473" s="18" t="s">
        <v>506</v>
      </c>
      <c r="B473" s="18">
        <v>8.32</v>
      </c>
      <c r="C473" s="18" t="s">
        <v>769</v>
      </c>
      <c r="D473" s="18" t="s">
        <v>1529</v>
      </c>
      <c r="E473" s="18">
        <v>-9.4700000000000006E-2</v>
      </c>
      <c r="F473" s="18">
        <v>8.2799999999999994</v>
      </c>
      <c r="G473" s="18">
        <v>9.69</v>
      </c>
      <c r="H473" s="18">
        <v>8.94</v>
      </c>
      <c r="I473" s="18">
        <v>240615628</v>
      </c>
      <c r="J473" s="18">
        <v>26917762</v>
      </c>
    </row>
    <row r="474" spans="1:10" x14ac:dyDescent="0.3">
      <c r="A474" s="18" t="s">
        <v>507</v>
      </c>
      <c r="B474" s="18">
        <v>12.86</v>
      </c>
      <c r="C474" s="18" t="s">
        <v>869</v>
      </c>
      <c r="D474" s="18" t="s">
        <v>1195</v>
      </c>
      <c r="E474" s="18">
        <v>1.18E-2</v>
      </c>
      <c r="F474" s="18">
        <v>12.59</v>
      </c>
      <c r="G474" s="18">
        <v>12.95</v>
      </c>
      <c r="H474" s="18">
        <v>12.82</v>
      </c>
      <c r="I474" s="18">
        <v>152085161</v>
      </c>
      <c r="J474" s="18">
        <v>11860529</v>
      </c>
    </row>
    <row r="475" spans="1:10" x14ac:dyDescent="0.3">
      <c r="A475" s="18" t="s">
        <v>508</v>
      </c>
      <c r="B475" s="18">
        <v>13.7</v>
      </c>
      <c r="C475" s="18" t="s">
        <v>1530</v>
      </c>
      <c r="D475" s="18" t="s">
        <v>1531</v>
      </c>
      <c r="E475" s="18">
        <v>3.5499999999999997E-2</v>
      </c>
      <c r="F475" s="18">
        <v>13.08</v>
      </c>
      <c r="G475" s="18">
        <v>13.7</v>
      </c>
      <c r="H475" s="18">
        <v>13.41</v>
      </c>
      <c r="I475" s="18">
        <v>52522668</v>
      </c>
      <c r="J475" s="18">
        <v>3915771</v>
      </c>
    </row>
    <row r="476" spans="1:10" x14ac:dyDescent="0.3">
      <c r="A476" s="18" t="s">
        <v>509</v>
      </c>
      <c r="B476" s="18">
        <v>101</v>
      </c>
      <c r="C476" s="18" t="s">
        <v>1532</v>
      </c>
      <c r="D476" s="18" t="s">
        <v>1053</v>
      </c>
      <c r="E476" s="18">
        <v>8.9999999999999993E-3</v>
      </c>
      <c r="F476" s="18">
        <v>99.3</v>
      </c>
      <c r="G476" s="18">
        <v>103.5</v>
      </c>
      <c r="H476" s="18">
        <v>100.71</v>
      </c>
      <c r="I476" s="18">
        <v>27745396</v>
      </c>
      <c r="J476" s="18">
        <v>275498</v>
      </c>
    </row>
    <row r="477" spans="1:10" x14ac:dyDescent="0.3">
      <c r="A477" s="18" t="s">
        <v>510</v>
      </c>
      <c r="B477" s="18">
        <v>77.3</v>
      </c>
      <c r="C477" s="18" t="s">
        <v>1533</v>
      </c>
      <c r="D477" s="18" t="s">
        <v>852</v>
      </c>
      <c r="E477" s="18">
        <v>-1.9E-3</v>
      </c>
      <c r="F477" s="18">
        <v>74.400000000000006</v>
      </c>
      <c r="G477" s="18">
        <v>77.75</v>
      </c>
      <c r="H477" s="18">
        <v>76.319999999999993</v>
      </c>
      <c r="I477" s="18">
        <v>3111050792</v>
      </c>
      <c r="J477" s="18">
        <v>40764419</v>
      </c>
    </row>
    <row r="478" spans="1:10" x14ac:dyDescent="0.3">
      <c r="A478" s="18" t="s">
        <v>511</v>
      </c>
      <c r="B478" s="18">
        <v>16.559999999999999</v>
      </c>
      <c r="C478" s="18" t="s">
        <v>1534</v>
      </c>
      <c r="D478" s="18" t="s">
        <v>1535</v>
      </c>
      <c r="E478" s="18">
        <v>-2.4199999999999999E-2</v>
      </c>
      <c r="F478" s="18">
        <v>16.5</v>
      </c>
      <c r="G478" s="18">
        <v>17.440000000000001</v>
      </c>
      <c r="H478" s="18">
        <v>16.89</v>
      </c>
      <c r="I478" s="18">
        <v>37494769</v>
      </c>
      <c r="J478" s="18">
        <v>2220507</v>
      </c>
    </row>
    <row r="479" spans="1:10" x14ac:dyDescent="0.3">
      <c r="A479" s="18" t="s">
        <v>512</v>
      </c>
      <c r="B479" s="18">
        <v>24.9</v>
      </c>
      <c r="C479" s="18" t="s">
        <v>819</v>
      </c>
      <c r="D479" s="18" t="s">
        <v>1536</v>
      </c>
      <c r="E479" s="18">
        <v>-1.7399999999999999E-2</v>
      </c>
      <c r="F479" s="18">
        <v>24.7</v>
      </c>
      <c r="G479" s="18">
        <v>25.86</v>
      </c>
      <c r="H479" s="18">
        <v>24.97</v>
      </c>
      <c r="I479" s="18">
        <v>3386922</v>
      </c>
      <c r="J479" s="18">
        <v>135626</v>
      </c>
    </row>
    <row r="480" spans="1:10" x14ac:dyDescent="0.3">
      <c r="A480" s="18" t="s">
        <v>513</v>
      </c>
      <c r="B480" s="18">
        <v>15.09</v>
      </c>
      <c r="C480" s="18" t="s">
        <v>89</v>
      </c>
      <c r="D480" s="18" t="s">
        <v>872</v>
      </c>
      <c r="E480" s="18">
        <v>-9.9599999999999994E-2</v>
      </c>
      <c r="F480" s="18">
        <v>15.09</v>
      </c>
      <c r="G480" s="18">
        <v>15.09</v>
      </c>
      <c r="H480" s="18">
        <v>15.09</v>
      </c>
      <c r="I480" s="18">
        <v>14409003</v>
      </c>
      <c r="J480" s="18">
        <v>954871</v>
      </c>
    </row>
    <row r="481" spans="1:10" x14ac:dyDescent="0.3">
      <c r="A481" s="18" t="s">
        <v>514</v>
      </c>
      <c r="B481" s="18">
        <v>19.170000000000002</v>
      </c>
      <c r="C481" s="18" t="s">
        <v>1537</v>
      </c>
      <c r="D481" s="18" t="s">
        <v>1538</v>
      </c>
      <c r="E481" s="18">
        <v>-2.64E-2</v>
      </c>
      <c r="F481" s="18">
        <v>19.14</v>
      </c>
      <c r="G481" s="18">
        <v>19.809999999999999</v>
      </c>
      <c r="H481" s="18">
        <v>19.32</v>
      </c>
      <c r="I481" s="18">
        <v>6733241</v>
      </c>
      <c r="J481" s="18">
        <v>348523</v>
      </c>
    </row>
    <row r="482" spans="1:10" x14ac:dyDescent="0.3">
      <c r="A482" s="18" t="s">
        <v>515</v>
      </c>
      <c r="B482" s="18">
        <v>17.440000000000001</v>
      </c>
      <c r="C482" s="18" t="s">
        <v>1539</v>
      </c>
      <c r="D482" s="18" t="s">
        <v>1540</v>
      </c>
      <c r="E482" s="18">
        <v>-5.1000000000000004E-3</v>
      </c>
      <c r="F482" s="18">
        <v>17.309999999999999</v>
      </c>
      <c r="G482" s="18">
        <v>17.559999999999999</v>
      </c>
      <c r="H482" s="18">
        <v>17.440000000000001</v>
      </c>
      <c r="I482" s="18">
        <v>9094053</v>
      </c>
      <c r="J482" s="18">
        <v>521403</v>
      </c>
    </row>
    <row r="483" spans="1:10" x14ac:dyDescent="0.3">
      <c r="A483" s="18" t="s">
        <v>516</v>
      </c>
      <c r="B483" s="18">
        <v>3.28</v>
      </c>
      <c r="C483" s="18" t="s">
        <v>1541</v>
      </c>
      <c r="D483" s="18" t="s">
        <v>1542</v>
      </c>
      <c r="E483" s="18">
        <v>-6.1000000000000004E-3</v>
      </c>
      <c r="F483" s="18">
        <v>3.18</v>
      </c>
      <c r="G483" s="18">
        <v>3.33</v>
      </c>
      <c r="H483" s="18">
        <v>3.24</v>
      </c>
      <c r="I483" s="18">
        <v>1887850730</v>
      </c>
      <c r="J483" s="18">
        <v>583080000</v>
      </c>
    </row>
    <row r="484" spans="1:10" x14ac:dyDescent="0.3">
      <c r="A484" s="18" t="s">
        <v>517</v>
      </c>
      <c r="B484" s="18">
        <v>43.26</v>
      </c>
      <c r="C484" s="18" t="s">
        <v>1543</v>
      </c>
      <c r="D484" s="18" t="s">
        <v>1544</v>
      </c>
      <c r="E484" s="18">
        <v>5.4600000000000003E-2</v>
      </c>
      <c r="F484" s="18">
        <v>40.82</v>
      </c>
      <c r="G484" s="18">
        <v>43.26</v>
      </c>
      <c r="H484" s="18">
        <v>42.09</v>
      </c>
      <c r="I484" s="18">
        <v>189371839</v>
      </c>
      <c r="J484" s="18">
        <v>4499607</v>
      </c>
    </row>
    <row r="485" spans="1:10" x14ac:dyDescent="0.3">
      <c r="A485" s="18" t="s">
        <v>518</v>
      </c>
      <c r="B485" s="18">
        <v>176.2</v>
      </c>
      <c r="C485" s="18" t="s">
        <v>1545</v>
      </c>
      <c r="D485" s="18" t="s">
        <v>1546</v>
      </c>
      <c r="E485" s="18">
        <v>4.4499999999999998E-2</v>
      </c>
      <c r="F485" s="18">
        <v>166.4</v>
      </c>
      <c r="G485" s="18">
        <v>176.2</v>
      </c>
      <c r="H485" s="18">
        <v>171.18</v>
      </c>
      <c r="I485" s="18">
        <v>69971681</v>
      </c>
      <c r="J485" s="18">
        <v>408758</v>
      </c>
    </row>
    <row r="486" spans="1:10" x14ac:dyDescent="0.3">
      <c r="A486" s="18" t="s">
        <v>519</v>
      </c>
      <c r="B486" s="18">
        <v>23.02</v>
      </c>
      <c r="C486" s="18" t="s">
        <v>1547</v>
      </c>
      <c r="D486" s="18" t="s">
        <v>895</v>
      </c>
      <c r="E486" s="18">
        <v>-1.9599999999999999E-2</v>
      </c>
      <c r="F486" s="18">
        <v>22.96</v>
      </c>
      <c r="G486" s="18">
        <v>23.5</v>
      </c>
      <c r="H486" s="18">
        <v>23.18</v>
      </c>
      <c r="I486" s="18">
        <v>61727548</v>
      </c>
      <c r="J486" s="18">
        <v>2662649</v>
      </c>
    </row>
    <row r="487" spans="1:10" x14ac:dyDescent="0.3">
      <c r="A487" s="18" t="s">
        <v>520</v>
      </c>
      <c r="B487" s="18">
        <v>3.83</v>
      </c>
      <c r="C487" s="18" t="s">
        <v>1548</v>
      </c>
      <c r="D487" s="18" t="s">
        <v>823</v>
      </c>
      <c r="E487" s="18">
        <v>-2.7900000000000001E-2</v>
      </c>
      <c r="F487" s="18">
        <v>3.83</v>
      </c>
      <c r="G487" s="18">
        <v>3.96</v>
      </c>
      <c r="H487" s="18">
        <v>3.88</v>
      </c>
      <c r="I487" s="18">
        <v>34593262</v>
      </c>
      <c r="J487" s="18">
        <v>8917056</v>
      </c>
    </row>
    <row r="488" spans="1:10" x14ac:dyDescent="0.3">
      <c r="A488" s="18" t="s">
        <v>521</v>
      </c>
      <c r="B488" s="18">
        <v>7.16</v>
      </c>
      <c r="C488" s="18" t="s">
        <v>1056</v>
      </c>
      <c r="D488" s="18" t="s">
        <v>1549</v>
      </c>
      <c r="E488" s="18">
        <v>-5.5999999999999999E-3</v>
      </c>
      <c r="F488" s="18">
        <v>7.04</v>
      </c>
      <c r="G488" s="18">
        <v>7.2</v>
      </c>
      <c r="H488" s="18">
        <v>7.12</v>
      </c>
      <c r="I488" s="18">
        <v>3713656</v>
      </c>
      <c r="J488" s="18">
        <v>521736</v>
      </c>
    </row>
    <row r="489" spans="1:10" x14ac:dyDescent="0.3">
      <c r="A489" s="18" t="s">
        <v>522</v>
      </c>
      <c r="B489" s="18">
        <v>14</v>
      </c>
      <c r="C489" s="18" t="s">
        <v>1196</v>
      </c>
      <c r="D489" s="18" t="s">
        <v>957</v>
      </c>
      <c r="E489" s="18">
        <v>-2.5100000000000001E-2</v>
      </c>
      <c r="F489" s="18">
        <v>13.91</v>
      </c>
      <c r="G489" s="18">
        <v>14.7</v>
      </c>
      <c r="H489" s="18">
        <v>14.25</v>
      </c>
      <c r="I489" s="18">
        <v>6779192</v>
      </c>
      <c r="J489" s="18">
        <v>475861</v>
      </c>
    </row>
    <row r="490" spans="1:10" x14ac:dyDescent="0.3">
      <c r="A490" s="18" t="s">
        <v>523</v>
      </c>
      <c r="B490" s="18">
        <v>68.400000000000006</v>
      </c>
      <c r="C490" s="18" t="s">
        <v>1550</v>
      </c>
      <c r="D490" s="18" t="s">
        <v>754</v>
      </c>
      <c r="E490" s="18">
        <v>2.1700000000000001E-2</v>
      </c>
      <c r="F490" s="18">
        <v>67</v>
      </c>
      <c r="G490" s="18">
        <v>68.400000000000006</v>
      </c>
      <c r="H490" s="18">
        <v>67.959999999999994</v>
      </c>
      <c r="I490" s="18">
        <v>147748054</v>
      </c>
      <c r="J490" s="18">
        <v>2174145</v>
      </c>
    </row>
    <row r="491" spans="1:10" x14ac:dyDescent="0.3">
      <c r="A491" s="18" t="s">
        <v>524</v>
      </c>
      <c r="B491" s="18">
        <v>55.3</v>
      </c>
      <c r="C491" s="18" t="s">
        <v>1551</v>
      </c>
      <c r="D491" s="18" t="s">
        <v>1552</v>
      </c>
      <c r="E491" s="18">
        <v>2.98E-2</v>
      </c>
      <c r="F491" s="18">
        <v>52.9</v>
      </c>
      <c r="G491" s="18">
        <v>55.7</v>
      </c>
      <c r="H491" s="18">
        <v>54.24</v>
      </c>
      <c r="I491" s="18">
        <v>7140848</v>
      </c>
      <c r="J491" s="18">
        <v>131646</v>
      </c>
    </row>
    <row r="492" spans="1:10" x14ac:dyDescent="0.3">
      <c r="A492" s="18" t="s">
        <v>525</v>
      </c>
      <c r="B492" s="18">
        <v>1.8</v>
      </c>
      <c r="C492" s="18" t="s">
        <v>629</v>
      </c>
      <c r="D492" s="18" t="s">
        <v>680</v>
      </c>
      <c r="E492" s="18">
        <v>-1.0999999999999999E-2</v>
      </c>
      <c r="F492" s="18">
        <v>1.77</v>
      </c>
      <c r="G492" s="18">
        <v>1.85</v>
      </c>
      <c r="H492" s="18">
        <v>1.81</v>
      </c>
      <c r="I492" s="18">
        <v>20565833</v>
      </c>
      <c r="J492" s="18">
        <v>11344305</v>
      </c>
    </row>
    <row r="493" spans="1:10" x14ac:dyDescent="0.3">
      <c r="A493" s="18" t="s">
        <v>526</v>
      </c>
      <c r="B493" s="18">
        <v>10.85</v>
      </c>
      <c r="C493" s="18" t="s">
        <v>775</v>
      </c>
      <c r="D493" s="18" t="s">
        <v>1553</v>
      </c>
      <c r="E493" s="18">
        <v>-8.2000000000000007E-3</v>
      </c>
      <c r="F493" s="18">
        <v>10.74</v>
      </c>
      <c r="G493" s="18">
        <v>11.14</v>
      </c>
      <c r="H493" s="18">
        <v>10.9</v>
      </c>
      <c r="I493" s="18">
        <v>131347398</v>
      </c>
      <c r="J493" s="18">
        <v>12048989</v>
      </c>
    </row>
    <row r="494" spans="1:10" x14ac:dyDescent="0.3">
      <c r="A494" s="18" t="s">
        <v>527</v>
      </c>
      <c r="B494" s="18">
        <v>2.92</v>
      </c>
      <c r="C494" s="18" t="s">
        <v>1554</v>
      </c>
      <c r="D494" s="18" t="s">
        <v>1555</v>
      </c>
      <c r="E494" s="18">
        <v>1.7399999999999999E-2</v>
      </c>
      <c r="F494" s="18">
        <v>2.77</v>
      </c>
      <c r="G494" s="18">
        <v>2.92</v>
      </c>
      <c r="H494" s="18">
        <v>2.84</v>
      </c>
      <c r="I494" s="18">
        <v>2424982</v>
      </c>
      <c r="J494" s="18">
        <v>853622</v>
      </c>
    </row>
    <row r="495" spans="1:10" x14ac:dyDescent="0.3">
      <c r="A495" s="18" t="s">
        <v>528</v>
      </c>
      <c r="B495" s="18">
        <v>15.7</v>
      </c>
      <c r="C495" s="18" t="s">
        <v>936</v>
      </c>
      <c r="D495" s="18" t="s">
        <v>1526</v>
      </c>
      <c r="E495" s="18">
        <v>-3.2000000000000002E-3</v>
      </c>
      <c r="F495" s="18">
        <v>15.4</v>
      </c>
      <c r="G495" s="18">
        <v>16.12</v>
      </c>
      <c r="H495" s="18">
        <v>15.84</v>
      </c>
      <c r="I495" s="18">
        <v>2563014</v>
      </c>
      <c r="J495" s="18">
        <v>161847</v>
      </c>
    </row>
    <row r="496" spans="1:10" x14ac:dyDescent="0.3">
      <c r="A496" s="18" t="s">
        <v>529</v>
      </c>
      <c r="B496" s="18">
        <v>33</v>
      </c>
      <c r="C496" s="18" t="s">
        <v>876</v>
      </c>
      <c r="D496" s="18" t="s">
        <v>818</v>
      </c>
      <c r="E496" s="18">
        <v>-1.67E-2</v>
      </c>
      <c r="F496" s="18">
        <v>32.9</v>
      </c>
      <c r="G496" s="18">
        <v>33.619999999999997</v>
      </c>
      <c r="H496" s="18">
        <v>33.119999999999997</v>
      </c>
      <c r="I496" s="18">
        <v>977034970</v>
      </c>
      <c r="J496" s="18">
        <v>29502616</v>
      </c>
    </row>
    <row r="497" spans="1:10" x14ac:dyDescent="0.3">
      <c r="A497" s="18" t="s">
        <v>530</v>
      </c>
      <c r="B497" s="18">
        <v>4.51</v>
      </c>
      <c r="C497" s="18" t="s">
        <v>1556</v>
      </c>
      <c r="D497" s="18" t="s">
        <v>1557</v>
      </c>
      <c r="E497" s="18">
        <v>-4.65E-2</v>
      </c>
      <c r="F497" s="18">
        <v>4.51</v>
      </c>
      <c r="G497" s="18">
        <v>4.74</v>
      </c>
      <c r="H497" s="18">
        <v>4.6100000000000003</v>
      </c>
      <c r="I497" s="18">
        <v>94655486</v>
      </c>
      <c r="J497" s="18">
        <v>20555374</v>
      </c>
    </row>
    <row r="498" spans="1:10" x14ac:dyDescent="0.3">
      <c r="A498" s="18" t="s">
        <v>531</v>
      </c>
      <c r="B498" s="18">
        <v>4.84</v>
      </c>
      <c r="C498" s="18" t="s">
        <v>628</v>
      </c>
      <c r="D498" s="18" t="s">
        <v>664</v>
      </c>
      <c r="E498" s="18">
        <v>-3.39E-2</v>
      </c>
      <c r="F498" s="18">
        <v>4.82</v>
      </c>
      <c r="G498" s="18">
        <v>5.09</v>
      </c>
      <c r="H498" s="18">
        <v>4.9400000000000004</v>
      </c>
      <c r="I498" s="18">
        <v>13183708</v>
      </c>
      <c r="J498" s="18">
        <v>2670760</v>
      </c>
    </row>
    <row r="499" spans="1:10" x14ac:dyDescent="0.3">
      <c r="A499" s="18" t="s">
        <v>532</v>
      </c>
      <c r="B499" s="18">
        <v>79.8</v>
      </c>
      <c r="C499" s="18" t="s">
        <v>1558</v>
      </c>
      <c r="D499" s="18" t="s">
        <v>1559</v>
      </c>
      <c r="E499" s="18">
        <v>-3.1E-2</v>
      </c>
      <c r="F499" s="18">
        <v>78.400000000000006</v>
      </c>
      <c r="G499" s="18">
        <v>82.95</v>
      </c>
      <c r="H499" s="18">
        <v>79.94</v>
      </c>
      <c r="I499" s="18">
        <v>20020808</v>
      </c>
      <c r="J499" s="18">
        <v>250465</v>
      </c>
    </row>
    <row r="500" spans="1:10" x14ac:dyDescent="0.3">
      <c r="A500" s="18" t="s">
        <v>533</v>
      </c>
      <c r="B500" s="18">
        <v>11.17</v>
      </c>
      <c r="C500" s="18" t="s">
        <v>1560</v>
      </c>
      <c r="D500" s="18" t="s">
        <v>1561</v>
      </c>
      <c r="E500" s="18">
        <v>-3.5400000000000001E-2</v>
      </c>
      <c r="F500" s="18">
        <v>11.06</v>
      </c>
      <c r="G500" s="18">
        <v>11.61</v>
      </c>
      <c r="H500" s="18">
        <v>11.23</v>
      </c>
      <c r="I500" s="18">
        <v>97364268</v>
      </c>
      <c r="J500" s="18">
        <v>8671414</v>
      </c>
    </row>
    <row r="501" spans="1:10" x14ac:dyDescent="0.3">
      <c r="A501" s="18" t="s">
        <v>534</v>
      </c>
      <c r="B501" s="18">
        <v>23.26</v>
      </c>
      <c r="C501" s="18" t="s">
        <v>878</v>
      </c>
      <c r="D501" s="18" t="s">
        <v>685</v>
      </c>
      <c r="E501" s="18">
        <v>-2.2700000000000001E-2</v>
      </c>
      <c r="F501" s="18">
        <v>23.12</v>
      </c>
      <c r="G501" s="18">
        <v>23.94</v>
      </c>
      <c r="H501" s="18">
        <v>23.28</v>
      </c>
      <c r="I501" s="18">
        <v>14485432</v>
      </c>
      <c r="J501" s="18">
        <v>622246</v>
      </c>
    </row>
    <row r="502" spans="1:10" x14ac:dyDescent="0.3">
      <c r="A502" s="18" t="s">
        <v>535</v>
      </c>
      <c r="B502" s="18">
        <v>27.96</v>
      </c>
      <c r="C502" s="18" t="s">
        <v>1476</v>
      </c>
      <c r="D502" s="18" t="s">
        <v>1562</v>
      </c>
      <c r="E502" s="18">
        <v>-9.1999999999999998E-3</v>
      </c>
      <c r="F502" s="18">
        <v>27.34</v>
      </c>
      <c r="G502" s="18">
        <v>28.54</v>
      </c>
      <c r="H502" s="18">
        <v>27.62</v>
      </c>
      <c r="I502" s="18">
        <v>73893140</v>
      </c>
      <c r="J502" s="18">
        <v>2675615</v>
      </c>
    </row>
    <row r="503" spans="1:10" x14ac:dyDescent="0.3">
      <c r="A503" s="18" t="s">
        <v>536</v>
      </c>
      <c r="B503" s="18">
        <v>165.3</v>
      </c>
      <c r="C503" s="18" t="s">
        <v>1563</v>
      </c>
      <c r="D503" s="18" t="s">
        <v>1564</v>
      </c>
      <c r="E503" s="18">
        <v>3.1199999999999999E-2</v>
      </c>
      <c r="F503" s="18">
        <v>160</v>
      </c>
      <c r="G503" s="18">
        <v>176</v>
      </c>
      <c r="H503" s="18">
        <v>170.38</v>
      </c>
      <c r="I503" s="18">
        <v>44876447</v>
      </c>
      <c r="J503" s="18">
        <v>263390</v>
      </c>
    </row>
    <row r="504" spans="1:10" x14ac:dyDescent="0.3">
      <c r="A504" s="18" t="s">
        <v>537</v>
      </c>
      <c r="B504" s="18">
        <v>3.45</v>
      </c>
      <c r="C504" s="18" t="s">
        <v>881</v>
      </c>
      <c r="D504" s="18" t="s">
        <v>1565</v>
      </c>
      <c r="E504" s="18">
        <v>-2.8999999999999998E-3</v>
      </c>
      <c r="F504" s="18">
        <v>3.4</v>
      </c>
      <c r="G504" s="18">
        <v>3.49</v>
      </c>
      <c r="H504" s="18">
        <v>3.44</v>
      </c>
      <c r="I504" s="18">
        <v>81058275</v>
      </c>
      <c r="J504" s="18">
        <v>23600624</v>
      </c>
    </row>
    <row r="505" spans="1:10" x14ac:dyDescent="0.3">
      <c r="A505" s="18" t="s">
        <v>538</v>
      </c>
      <c r="B505" s="18">
        <v>3.75</v>
      </c>
      <c r="C505" s="18" t="s">
        <v>882</v>
      </c>
      <c r="D505" s="18" t="s">
        <v>1566</v>
      </c>
      <c r="E505" s="18">
        <v>-1.5699999999999999E-2</v>
      </c>
      <c r="F505" s="18">
        <v>3.74</v>
      </c>
      <c r="G505" s="18">
        <v>3.84</v>
      </c>
      <c r="H505" s="18">
        <v>3.76</v>
      </c>
      <c r="I505" s="18">
        <v>15424262</v>
      </c>
      <c r="J505" s="18">
        <v>4098769</v>
      </c>
    </row>
    <row r="506" spans="1:10" x14ac:dyDescent="0.3">
      <c r="A506" s="18" t="s">
        <v>539</v>
      </c>
      <c r="B506" s="18">
        <v>183.4</v>
      </c>
      <c r="C506" s="18" t="s">
        <v>1567</v>
      </c>
      <c r="D506" s="18" t="s">
        <v>1568</v>
      </c>
      <c r="E506" s="18">
        <v>2.2000000000000001E-3</v>
      </c>
      <c r="F506" s="18">
        <v>183.4</v>
      </c>
      <c r="G506" s="18">
        <v>183.5</v>
      </c>
      <c r="H506" s="18">
        <v>183.5</v>
      </c>
      <c r="I506" s="18">
        <v>37491387</v>
      </c>
      <c r="J506" s="18">
        <v>204313</v>
      </c>
    </row>
    <row r="507" spans="1:10" x14ac:dyDescent="0.3">
      <c r="A507" s="18" t="s">
        <v>540</v>
      </c>
      <c r="B507" s="18">
        <v>55</v>
      </c>
      <c r="C507" s="18" t="s">
        <v>753</v>
      </c>
      <c r="D507" s="18" t="s">
        <v>1569</v>
      </c>
      <c r="E507" s="18">
        <v>-1.43E-2</v>
      </c>
      <c r="F507" s="18">
        <v>55</v>
      </c>
      <c r="G507" s="18">
        <v>55.75</v>
      </c>
      <c r="H507" s="18">
        <v>55.72</v>
      </c>
      <c r="I507" s="18">
        <v>1383857</v>
      </c>
      <c r="J507" s="18">
        <v>24836</v>
      </c>
    </row>
    <row r="508" spans="1:10" x14ac:dyDescent="0.3">
      <c r="A508" s="18" t="s">
        <v>541</v>
      </c>
      <c r="B508" s="18">
        <v>82.25</v>
      </c>
      <c r="C508" s="18" t="s">
        <v>1570</v>
      </c>
      <c r="D508" s="18" t="s">
        <v>1571</v>
      </c>
      <c r="E508" s="18">
        <v>-2.0299999999999999E-2</v>
      </c>
      <c r="F508" s="18">
        <v>82.2</v>
      </c>
      <c r="G508" s="18">
        <v>83.5</v>
      </c>
      <c r="H508" s="18">
        <v>82.38</v>
      </c>
      <c r="I508" s="18">
        <v>588704</v>
      </c>
      <c r="J508" s="18">
        <v>7146</v>
      </c>
    </row>
    <row r="509" spans="1:10" x14ac:dyDescent="0.3">
      <c r="A509" s="18" t="s">
        <v>542</v>
      </c>
      <c r="B509" s="18">
        <v>10.56</v>
      </c>
      <c r="C509" s="18" t="s">
        <v>707</v>
      </c>
      <c r="D509" s="18" t="s">
        <v>1572</v>
      </c>
      <c r="E509" s="18">
        <v>-7.4999999999999997E-3</v>
      </c>
      <c r="F509" s="18">
        <v>10.54</v>
      </c>
      <c r="G509" s="18">
        <v>10.74</v>
      </c>
      <c r="H509" s="18">
        <v>10.62</v>
      </c>
      <c r="I509" s="18">
        <v>18052608</v>
      </c>
      <c r="J509" s="18">
        <v>1700132</v>
      </c>
    </row>
    <row r="510" spans="1:10" x14ac:dyDescent="0.3">
      <c r="A510" s="18" t="s">
        <v>543</v>
      </c>
      <c r="B510" s="18">
        <v>33.18</v>
      </c>
      <c r="C510" s="18" t="s">
        <v>1573</v>
      </c>
      <c r="D510" s="18" t="s">
        <v>1574</v>
      </c>
      <c r="E510" s="18">
        <v>-4.4900000000000002E-2</v>
      </c>
      <c r="F510" s="18">
        <v>32.979999999999997</v>
      </c>
      <c r="G510" s="18">
        <v>34.700000000000003</v>
      </c>
      <c r="H510" s="18">
        <v>33.479999999999997</v>
      </c>
      <c r="I510" s="18">
        <v>463317241</v>
      </c>
      <c r="J510" s="18">
        <v>13839383</v>
      </c>
    </row>
    <row r="511" spans="1:10" x14ac:dyDescent="0.3">
      <c r="A511" s="18" t="s">
        <v>544</v>
      </c>
      <c r="B511" s="18">
        <v>97.5</v>
      </c>
      <c r="C511" s="18" t="s">
        <v>1575</v>
      </c>
      <c r="D511" s="18" t="s">
        <v>1576</v>
      </c>
      <c r="E511" s="18">
        <v>-1.8599999999999998E-2</v>
      </c>
      <c r="F511" s="18">
        <v>97.15</v>
      </c>
      <c r="G511" s="18">
        <v>100</v>
      </c>
      <c r="H511" s="18">
        <v>97.89</v>
      </c>
      <c r="I511" s="18">
        <v>5465783</v>
      </c>
      <c r="J511" s="18">
        <v>55835</v>
      </c>
    </row>
    <row r="512" spans="1:10" x14ac:dyDescent="0.3">
      <c r="A512" s="18" t="s">
        <v>545</v>
      </c>
      <c r="B512" s="18">
        <v>2.4500000000000002</v>
      </c>
      <c r="C512" s="18" t="s">
        <v>884</v>
      </c>
      <c r="D512" s="18" t="s">
        <v>885</v>
      </c>
      <c r="E512" s="18">
        <v>1.66E-2</v>
      </c>
      <c r="F512" s="18">
        <v>2.37</v>
      </c>
      <c r="G512" s="18">
        <v>2.59</v>
      </c>
      <c r="H512" s="18">
        <v>2.4700000000000002</v>
      </c>
      <c r="I512" s="18">
        <v>171994560</v>
      </c>
      <c r="J512" s="18">
        <v>69516475</v>
      </c>
    </row>
    <row r="513" spans="1:10" x14ac:dyDescent="0.3">
      <c r="A513" s="18" t="s">
        <v>546</v>
      </c>
      <c r="B513" s="18">
        <v>259.5</v>
      </c>
      <c r="C513" s="18" t="s">
        <v>1577</v>
      </c>
      <c r="D513" s="18" t="s">
        <v>1516</v>
      </c>
      <c r="E513" s="18">
        <v>-9.4999999999999998E-3</v>
      </c>
      <c r="F513" s="18">
        <v>259.5</v>
      </c>
      <c r="G513" s="18">
        <v>262.25</v>
      </c>
      <c r="H513" s="18">
        <v>259.75</v>
      </c>
      <c r="I513" s="18">
        <v>1247326</v>
      </c>
      <c r="J513" s="18">
        <v>4802</v>
      </c>
    </row>
    <row r="514" spans="1:10" x14ac:dyDescent="0.3">
      <c r="A514" s="18" t="s">
        <v>547</v>
      </c>
      <c r="B514" s="18">
        <v>33.76</v>
      </c>
      <c r="C514" s="18" t="s">
        <v>1578</v>
      </c>
      <c r="D514" s="18" t="s">
        <v>1579</v>
      </c>
      <c r="E514" s="18">
        <v>-9.4000000000000004E-3</v>
      </c>
      <c r="F514" s="18">
        <v>33.46</v>
      </c>
      <c r="G514" s="18">
        <v>35.96</v>
      </c>
      <c r="H514" s="18">
        <v>34.42</v>
      </c>
      <c r="I514" s="18">
        <v>208106369</v>
      </c>
      <c r="J514" s="18">
        <v>6046663</v>
      </c>
    </row>
    <row r="515" spans="1:10" x14ac:dyDescent="0.3">
      <c r="A515" s="18" t="s">
        <v>548</v>
      </c>
      <c r="B515" s="18">
        <v>46.64</v>
      </c>
      <c r="C515" s="18" t="s">
        <v>709</v>
      </c>
      <c r="D515" s="18" t="s">
        <v>774</v>
      </c>
      <c r="E515" s="18">
        <v>1.35E-2</v>
      </c>
      <c r="F515" s="18">
        <v>45.3</v>
      </c>
      <c r="G515" s="18">
        <v>47.9</v>
      </c>
      <c r="H515" s="18">
        <v>46.75</v>
      </c>
      <c r="I515" s="18">
        <v>60482338</v>
      </c>
      <c r="J515" s="18">
        <v>1293811</v>
      </c>
    </row>
    <row r="516" spans="1:10" x14ac:dyDescent="0.3">
      <c r="A516" s="18" t="s">
        <v>549</v>
      </c>
      <c r="B516" s="18">
        <v>14.8</v>
      </c>
      <c r="C516" s="18" t="s">
        <v>1580</v>
      </c>
      <c r="D516" s="18" t="s">
        <v>1149</v>
      </c>
      <c r="E516" s="18">
        <v>-2E-3</v>
      </c>
      <c r="F516" s="18">
        <v>14.65</v>
      </c>
      <c r="G516" s="18">
        <v>14.99</v>
      </c>
      <c r="H516" s="18">
        <v>14.81</v>
      </c>
      <c r="I516" s="18">
        <v>45512807</v>
      </c>
      <c r="J516" s="18">
        <v>3073592</v>
      </c>
    </row>
    <row r="517" spans="1:10" x14ac:dyDescent="0.3">
      <c r="A517" s="18" t="s">
        <v>550</v>
      </c>
      <c r="B517" s="18">
        <v>173</v>
      </c>
      <c r="C517" s="18" t="s">
        <v>1581</v>
      </c>
      <c r="D517" s="18" t="s">
        <v>1582</v>
      </c>
      <c r="E517" s="18">
        <v>1.8200000000000001E-2</v>
      </c>
      <c r="F517" s="18">
        <v>167.5</v>
      </c>
      <c r="G517" s="18">
        <v>174.2</v>
      </c>
      <c r="H517" s="18">
        <v>170.95</v>
      </c>
      <c r="I517" s="18">
        <v>135593429</v>
      </c>
      <c r="J517" s="18">
        <v>793201</v>
      </c>
    </row>
    <row r="518" spans="1:10" x14ac:dyDescent="0.3">
      <c r="A518" s="18" t="s">
        <v>551</v>
      </c>
      <c r="B518" s="18">
        <v>305</v>
      </c>
      <c r="C518" s="18" t="s">
        <v>1583</v>
      </c>
      <c r="D518" s="18" t="s">
        <v>1584</v>
      </c>
      <c r="E518" s="18">
        <v>-2.4E-2</v>
      </c>
      <c r="F518" s="18">
        <v>305</v>
      </c>
      <c r="G518" s="18">
        <v>313.75</v>
      </c>
      <c r="H518" s="18">
        <v>307.70999999999998</v>
      </c>
      <c r="I518" s="18">
        <v>27207262</v>
      </c>
      <c r="J518" s="18">
        <v>88418</v>
      </c>
    </row>
    <row r="519" spans="1:10" x14ac:dyDescent="0.3">
      <c r="A519" s="18" t="s">
        <v>552</v>
      </c>
      <c r="B519" s="18">
        <v>41.8</v>
      </c>
      <c r="C519" s="18" t="s">
        <v>1585</v>
      </c>
      <c r="D519" s="18" t="s">
        <v>1586</v>
      </c>
      <c r="E519" s="18">
        <v>9.1999999999999998E-3</v>
      </c>
      <c r="F519" s="18">
        <v>40.56</v>
      </c>
      <c r="G519" s="18">
        <v>42.28</v>
      </c>
      <c r="H519" s="18">
        <v>41.4</v>
      </c>
      <c r="I519" s="18">
        <v>60216125</v>
      </c>
      <c r="J519" s="18">
        <v>1454418</v>
      </c>
    </row>
    <row r="520" spans="1:10" x14ac:dyDescent="0.3">
      <c r="A520" s="18" t="s">
        <v>553</v>
      </c>
      <c r="B520" s="18">
        <v>11.27</v>
      </c>
      <c r="C520" s="18" t="s">
        <v>1587</v>
      </c>
      <c r="D520" s="18" t="s">
        <v>1588</v>
      </c>
      <c r="E520" s="18">
        <v>-1.66E-2</v>
      </c>
      <c r="F520" s="18">
        <v>11.21</v>
      </c>
      <c r="G520" s="18">
        <v>11.59</v>
      </c>
      <c r="H520" s="18">
        <v>11.33</v>
      </c>
      <c r="I520" s="18">
        <v>9927754</v>
      </c>
      <c r="J520" s="18">
        <v>876645</v>
      </c>
    </row>
    <row r="521" spans="1:10" x14ac:dyDescent="0.3">
      <c r="A521" s="18" t="s">
        <v>554</v>
      </c>
      <c r="B521" s="18">
        <v>217.9</v>
      </c>
      <c r="C521" s="18" t="s">
        <v>886</v>
      </c>
      <c r="D521" s="18" t="s">
        <v>1589</v>
      </c>
      <c r="E521" s="18">
        <v>-1.7100000000000001E-2</v>
      </c>
      <c r="F521" s="18">
        <v>216.5</v>
      </c>
      <c r="G521" s="18">
        <v>222.5</v>
      </c>
      <c r="H521" s="18">
        <v>218.84</v>
      </c>
      <c r="I521" s="18">
        <v>427700566</v>
      </c>
      <c r="J521" s="18">
        <v>1954405</v>
      </c>
    </row>
    <row r="522" spans="1:10" x14ac:dyDescent="0.3">
      <c r="A522" s="18" t="s">
        <v>555</v>
      </c>
      <c r="B522" s="18">
        <v>167.3</v>
      </c>
      <c r="C522" s="18" t="s">
        <v>1590</v>
      </c>
      <c r="D522" s="18" t="s">
        <v>1591</v>
      </c>
      <c r="E522" s="18">
        <v>-1.01E-2</v>
      </c>
      <c r="F522" s="18">
        <v>164.4</v>
      </c>
      <c r="G522" s="18">
        <v>168.1</v>
      </c>
      <c r="H522" s="18">
        <v>166.21</v>
      </c>
      <c r="I522" s="18">
        <v>4461605</v>
      </c>
      <c r="J522" s="18">
        <v>26844</v>
      </c>
    </row>
    <row r="523" spans="1:10" x14ac:dyDescent="0.3">
      <c r="A523" s="18" t="s">
        <v>556</v>
      </c>
      <c r="B523" s="18">
        <v>94.85</v>
      </c>
      <c r="C523" s="18" t="s">
        <v>1592</v>
      </c>
      <c r="D523" s="18" t="s">
        <v>1593</v>
      </c>
      <c r="E523" s="18">
        <v>-6.7999999999999996E-3</v>
      </c>
      <c r="F523" s="18">
        <v>91.75</v>
      </c>
      <c r="G523" s="18">
        <v>95.7</v>
      </c>
      <c r="H523" s="18">
        <v>93.91</v>
      </c>
      <c r="I523" s="18">
        <v>2064802262</v>
      </c>
      <c r="J523" s="18">
        <v>21988269</v>
      </c>
    </row>
    <row r="524" spans="1:10" x14ac:dyDescent="0.3">
      <c r="A524" s="18" t="s">
        <v>557</v>
      </c>
      <c r="B524" s="18">
        <v>38.1</v>
      </c>
      <c r="C524" s="18" t="s">
        <v>681</v>
      </c>
      <c r="D524" s="18" t="s">
        <v>662</v>
      </c>
      <c r="E524" s="18">
        <v>2.1999999999999999E-2</v>
      </c>
      <c r="F524" s="18">
        <v>36.659999999999997</v>
      </c>
      <c r="G524" s="18">
        <v>38.74</v>
      </c>
      <c r="H524" s="18">
        <v>37.869999999999997</v>
      </c>
      <c r="I524" s="18">
        <v>71134150</v>
      </c>
      <c r="J524" s="18">
        <v>1878647</v>
      </c>
    </row>
    <row r="525" spans="1:10" x14ac:dyDescent="0.3">
      <c r="A525" s="18" t="s">
        <v>558</v>
      </c>
      <c r="B525" s="18">
        <v>13.88</v>
      </c>
      <c r="C525" s="18" t="s">
        <v>1594</v>
      </c>
      <c r="D525" s="18" t="s">
        <v>1595</v>
      </c>
      <c r="E525" s="18">
        <v>1.3100000000000001E-2</v>
      </c>
      <c r="F525" s="18">
        <v>13.15</v>
      </c>
      <c r="G525" s="18">
        <v>13.88</v>
      </c>
      <c r="H525" s="18">
        <v>13.6</v>
      </c>
      <c r="I525" s="18">
        <v>15624482</v>
      </c>
      <c r="J525" s="18">
        <v>1148631</v>
      </c>
    </row>
    <row r="526" spans="1:10" x14ac:dyDescent="0.3">
      <c r="A526" s="18" t="s">
        <v>559</v>
      </c>
      <c r="B526" s="18">
        <v>6.43</v>
      </c>
      <c r="C526" s="18" t="s">
        <v>764</v>
      </c>
      <c r="D526" s="18" t="s">
        <v>765</v>
      </c>
      <c r="E526" s="18">
        <v>8.7999999999999995E-2</v>
      </c>
      <c r="F526" s="18">
        <v>5.63</v>
      </c>
      <c r="G526" s="18">
        <v>6.49</v>
      </c>
      <c r="H526" s="18">
        <v>6.02</v>
      </c>
      <c r="I526" s="18">
        <v>263896020</v>
      </c>
      <c r="J526" s="18">
        <v>43818826</v>
      </c>
    </row>
    <row r="527" spans="1:10" x14ac:dyDescent="0.3">
      <c r="A527" s="18" t="s">
        <v>560</v>
      </c>
      <c r="B527" s="18">
        <v>167.6</v>
      </c>
      <c r="C527" s="18" t="s">
        <v>1596</v>
      </c>
      <c r="D527" s="18" t="s">
        <v>1597</v>
      </c>
      <c r="E527" s="18">
        <v>1.5100000000000001E-2</v>
      </c>
      <c r="F527" s="18">
        <v>163</v>
      </c>
      <c r="G527" s="18">
        <v>174.5</v>
      </c>
      <c r="H527" s="18">
        <v>167.99</v>
      </c>
      <c r="I527" s="18">
        <v>2563114898</v>
      </c>
      <c r="J527" s="18">
        <v>15257158</v>
      </c>
    </row>
    <row r="528" spans="1:10" x14ac:dyDescent="0.3">
      <c r="A528" s="18" t="s">
        <v>561</v>
      </c>
      <c r="B528" s="18">
        <v>16.52</v>
      </c>
      <c r="C528" s="18" t="s">
        <v>1598</v>
      </c>
      <c r="D528" s="18" t="s">
        <v>1599</v>
      </c>
      <c r="E528" s="18">
        <v>2.86E-2</v>
      </c>
      <c r="F528" s="18">
        <v>16.07</v>
      </c>
      <c r="G528" s="18">
        <v>16.98</v>
      </c>
      <c r="H528" s="18">
        <v>16.559999999999999</v>
      </c>
      <c r="I528" s="18">
        <v>86624612</v>
      </c>
      <c r="J528" s="18">
        <v>5232070</v>
      </c>
    </row>
    <row r="529" spans="1:10" x14ac:dyDescent="0.3">
      <c r="A529" s="18" t="s">
        <v>562</v>
      </c>
      <c r="B529" s="18">
        <v>74</v>
      </c>
      <c r="C529" s="18" t="s">
        <v>1600</v>
      </c>
      <c r="D529" s="18" t="s">
        <v>1601</v>
      </c>
      <c r="E529" s="18">
        <v>-4.7000000000000002E-3</v>
      </c>
      <c r="F529" s="18">
        <v>71.349999999999994</v>
      </c>
      <c r="G529" s="18">
        <v>76</v>
      </c>
      <c r="H529" s="18">
        <v>73.319999999999993</v>
      </c>
      <c r="I529" s="18">
        <v>8014431</v>
      </c>
      <c r="J529" s="18">
        <v>109306</v>
      </c>
    </row>
    <row r="530" spans="1:10" x14ac:dyDescent="0.3">
      <c r="A530" s="18" t="s">
        <v>563</v>
      </c>
      <c r="B530" s="18">
        <v>273.25</v>
      </c>
      <c r="C530" s="18" t="s">
        <v>1602</v>
      </c>
      <c r="D530" s="18" t="s">
        <v>1603</v>
      </c>
      <c r="E530" s="18">
        <v>-1.89E-2</v>
      </c>
      <c r="F530" s="18">
        <v>273</v>
      </c>
      <c r="G530" s="18">
        <v>280.25</v>
      </c>
      <c r="H530" s="18">
        <v>276.24</v>
      </c>
      <c r="I530" s="18">
        <v>6861374385</v>
      </c>
      <c r="J530" s="18">
        <v>24838082</v>
      </c>
    </row>
    <row r="531" spans="1:10" x14ac:dyDescent="0.3">
      <c r="A531" s="18" t="s">
        <v>564</v>
      </c>
      <c r="B531" s="18">
        <v>111</v>
      </c>
      <c r="C531" s="18" t="s">
        <v>1604</v>
      </c>
      <c r="D531" s="18" t="s">
        <v>1605</v>
      </c>
      <c r="E531" s="18">
        <v>-4.2299999999999997E-2</v>
      </c>
      <c r="F531" s="18">
        <v>111</v>
      </c>
      <c r="G531" s="18">
        <v>116.9</v>
      </c>
      <c r="H531" s="18">
        <v>112.89</v>
      </c>
      <c r="I531" s="18">
        <v>438809804</v>
      </c>
      <c r="J531" s="18">
        <v>3887225</v>
      </c>
    </row>
    <row r="532" spans="1:10" x14ac:dyDescent="0.3">
      <c r="A532" s="18" t="s">
        <v>565</v>
      </c>
      <c r="B532" s="18">
        <v>19.54</v>
      </c>
      <c r="C532" s="18" t="s">
        <v>1606</v>
      </c>
      <c r="D532" s="18" t="s">
        <v>686</v>
      </c>
      <c r="E532" s="18">
        <v>-2.5000000000000001E-2</v>
      </c>
      <c r="F532" s="18">
        <v>19.52</v>
      </c>
      <c r="G532" s="18">
        <v>20.12</v>
      </c>
      <c r="H532" s="18">
        <v>19.75</v>
      </c>
      <c r="I532" s="18">
        <v>65271915</v>
      </c>
      <c r="J532" s="18">
        <v>3304873</v>
      </c>
    </row>
    <row r="533" spans="1:10" x14ac:dyDescent="0.3">
      <c r="A533" s="18" t="s">
        <v>566</v>
      </c>
      <c r="B533" s="18">
        <v>78.2</v>
      </c>
      <c r="C533" s="18" t="s">
        <v>1607</v>
      </c>
      <c r="D533" s="18" t="s">
        <v>1608</v>
      </c>
      <c r="E533" s="18">
        <v>-7.6E-3</v>
      </c>
      <c r="F533" s="18">
        <v>78.05</v>
      </c>
      <c r="G533" s="18">
        <v>80.099999999999994</v>
      </c>
      <c r="H533" s="18">
        <v>78.88</v>
      </c>
      <c r="I533" s="18">
        <v>9611875</v>
      </c>
      <c r="J533" s="18">
        <v>121850</v>
      </c>
    </row>
    <row r="534" spans="1:10" x14ac:dyDescent="0.3">
      <c r="A534" s="18" t="s">
        <v>567</v>
      </c>
      <c r="B534" s="18">
        <v>70.8</v>
      </c>
      <c r="C534" s="18" t="s">
        <v>1609</v>
      </c>
      <c r="D534" s="18" t="s">
        <v>1610</v>
      </c>
      <c r="E534" s="18">
        <v>-1.26E-2</v>
      </c>
      <c r="F534" s="18">
        <v>70.400000000000006</v>
      </c>
      <c r="G534" s="18">
        <v>71.7</v>
      </c>
      <c r="H534" s="18">
        <v>70.83</v>
      </c>
      <c r="I534" s="18">
        <v>7233287</v>
      </c>
      <c r="J534" s="18">
        <v>102125</v>
      </c>
    </row>
    <row r="535" spans="1:10" x14ac:dyDescent="0.3">
      <c r="A535" s="18" t="s">
        <v>568</v>
      </c>
      <c r="B535" s="18">
        <v>96.45</v>
      </c>
      <c r="C535" s="18" t="s">
        <v>1611</v>
      </c>
      <c r="D535" s="18" t="s">
        <v>747</v>
      </c>
      <c r="E535" s="18">
        <v>-4.2200000000000001E-2</v>
      </c>
      <c r="F535" s="18">
        <v>96.45</v>
      </c>
      <c r="G535" s="18">
        <v>101.5</v>
      </c>
      <c r="H535" s="18">
        <v>98.14</v>
      </c>
      <c r="I535" s="18">
        <v>172680652</v>
      </c>
      <c r="J535" s="18">
        <v>1759578</v>
      </c>
    </row>
    <row r="536" spans="1:10" x14ac:dyDescent="0.3">
      <c r="A536" s="18" t="s">
        <v>569</v>
      </c>
      <c r="B536" s="18">
        <v>35.799999999999997</v>
      </c>
      <c r="C536" s="18" t="s">
        <v>1612</v>
      </c>
      <c r="D536" s="18" t="s">
        <v>1613</v>
      </c>
      <c r="E536" s="18">
        <v>2.8E-3</v>
      </c>
      <c r="F536" s="18">
        <v>35.299999999999997</v>
      </c>
      <c r="G536" s="18">
        <v>36.700000000000003</v>
      </c>
      <c r="H536" s="18">
        <v>35.93</v>
      </c>
      <c r="I536" s="18">
        <v>27244429</v>
      </c>
      <c r="J536" s="18">
        <v>758176</v>
      </c>
    </row>
    <row r="537" spans="1:10" x14ac:dyDescent="0.3">
      <c r="A537" s="18" t="s">
        <v>570</v>
      </c>
      <c r="B537" s="18">
        <v>177</v>
      </c>
      <c r="C537" s="18" t="s">
        <v>1614</v>
      </c>
      <c r="D537" s="18" t="s">
        <v>1154</v>
      </c>
      <c r="E537" s="18">
        <v>-2.2599999999999999E-2</v>
      </c>
      <c r="F537" s="18">
        <v>177</v>
      </c>
      <c r="G537" s="18">
        <v>184.7</v>
      </c>
      <c r="H537" s="18">
        <v>180.65</v>
      </c>
      <c r="I537" s="18">
        <v>902092492</v>
      </c>
      <c r="J537" s="18">
        <v>4993605</v>
      </c>
    </row>
    <row r="538" spans="1:10" x14ac:dyDescent="0.3">
      <c r="A538" s="18" t="s">
        <v>571</v>
      </c>
      <c r="B538" s="18">
        <v>27.44</v>
      </c>
      <c r="C538" s="18" t="s">
        <v>879</v>
      </c>
      <c r="D538" s="18" t="s">
        <v>880</v>
      </c>
      <c r="E538" s="18">
        <v>5.0500000000000003E-2</v>
      </c>
      <c r="F538" s="18">
        <v>26.2</v>
      </c>
      <c r="G538" s="18">
        <v>28</v>
      </c>
      <c r="H538" s="18">
        <v>27.29</v>
      </c>
      <c r="I538" s="18">
        <v>70484961</v>
      </c>
      <c r="J538" s="18">
        <v>2582960</v>
      </c>
    </row>
    <row r="539" spans="1:10" x14ac:dyDescent="0.3">
      <c r="A539" s="18" t="s">
        <v>572</v>
      </c>
      <c r="B539" s="18">
        <v>61.8</v>
      </c>
      <c r="C539" s="18" t="s">
        <v>1615</v>
      </c>
      <c r="D539" s="18" t="s">
        <v>1616</v>
      </c>
      <c r="E539" s="18">
        <v>4.1000000000000003E-3</v>
      </c>
      <c r="F539" s="18">
        <v>60.7</v>
      </c>
      <c r="G539" s="18">
        <v>62.15</v>
      </c>
      <c r="H539" s="18">
        <v>61.49</v>
      </c>
      <c r="I539" s="18">
        <v>50697080</v>
      </c>
      <c r="J539" s="18">
        <v>824507</v>
      </c>
    </row>
    <row r="540" spans="1:10" x14ac:dyDescent="0.3">
      <c r="A540" s="18" t="s">
        <v>573</v>
      </c>
      <c r="B540" s="18">
        <v>20.84</v>
      </c>
      <c r="C540" s="18" t="s">
        <v>1617</v>
      </c>
      <c r="D540" s="18" t="s">
        <v>1076</v>
      </c>
      <c r="E540" s="18">
        <v>-5.8700000000000002E-2</v>
      </c>
      <c r="F540" s="18">
        <v>20.58</v>
      </c>
      <c r="G540" s="18">
        <v>22.22</v>
      </c>
      <c r="H540" s="18">
        <v>21.27</v>
      </c>
      <c r="I540" s="18">
        <v>69746346</v>
      </c>
      <c r="J540" s="18">
        <v>3279906</v>
      </c>
    </row>
    <row r="541" spans="1:10" x14ac:dyDescent="0.3">
      <c r="A541" s="18" t="s">
        <v>574</v>
      </c>
      <c r="B541" s="18">
        <v>6.2</v>
      </c>
      <c r="C541" s="18" t="s">
        <v>646</v>
      </c>
      <c r="D541" s="18" t="s">
        <v>755</v>
      </c>
      <c r="E541" s="18">
        <v>-2.8199999999999999E-2</v>
      </c>
      <c r="F541" s="18">
        <v>6.2</v>
      </c>
      <c r="G541" s="18">
        <v>6.4</v>
      </c>
      <c r="H541" s="18">
        <v>6.29</v>
      </c>
      <c r="I541" s="18">
        <v>20118858</v>
      </c>
      <c r="J541" s="18">
        <v>3198949</v>
      </c>
    </row>
    <row r="542" spans="1:10" x14ac:dyDescent="0.3">
      <c r="A542" s="18" t="s">
        <v>575</v>
      </c>
      <c r="B542" s="18">
        <v>10.9</v>
      </c>
      <c r="C542" s="18" t="s">
        <v>1618</v>
      </c>
      <c r="D542" s="18" t="s">
        <v>1619</v>
      </c>
      <c r="E542" s="18">
        <v>-4.6399999999999997E-2</v>
      </c>
      <c r="F542" s="18">
        <v>10.65</v>
      </c>
      <c r="G542" s="18">
        <v>11.41</v>
      </c>
      <c r="H542" s="18">
        <v>10.96</v>
      </c>
      <c r="I542" s="18">
        <v>442960192</v>
      </c>
      <c r="J542" s="18">
        <v>40435926</v>
      </c>
    </row>
    <row r="543" spans="1:10" x14ac:dyDescent="0.3">
      <c r="A543" s="18" t="s">
        <v>576</v>
      </c>
      <c r="B543" s="18">
        <v>0.75</v>
      </c>
      <c r="C543" s="18" t="s">
        <v>577</v>
      </c>
      <c r="D543" s="18" t="s">
        <v>891</v>
      </c>
      <c r="E543" s="18">
        <v>0</v>
      </c>
      <c r="F543" s="18">
        <v>0.74</v>
      </c>
      <c r="G543" s="18">
        <v>0.75</v>
      </c>
      <c r="H543" s="18">
        <v>0.74</v>
      </c>
      <c r="I543" s="18">
        <v>78342975</v>
      </c>
      <c r="J543" s="18">
        <v>105489225</v>
      </c>
    </row>
    <row r="544" spans="1:10" x14ac:dyDescent="0.3">
      <c r="A544" s="18" t="s">
        <v>578</v>
      </c>
      <c r="B544" s="18">
        <v>55.15</v>
      </c>
      <c r="C544" s="18" t="s">
        <v>1620</v>
      </c>
      <c r="D544" s="18" t="s">
        <v>1621</v>
      </c>
      <c r="E544" s="18">
        <v>-6.13E-2</v>
      </c>
      <c r="F544" s="18">
        <v>55.05</v>
      </c>
      <c r="G544" s="18">
        <v>59.5</v>
      </c>
      <c r="H544" s="18">
        <v>57.08</v>
      </c>
      <c r="I544" s="18">
        <v>1044169275</v>
      </c>
      <c r="J544" s="18">
        <v>18291829</v>
      </c>
    </row>
    <row r="545" spans="1:10" x14ac:dyDescent="0.3">
      <c r="A545" s="18" t="s">
        <v>579</v>
      </c>
      <c r="B545" s="18">
        <v>559</v>
      </c>
      <c r="C545" s="18" t="s">
        <v>1622</v>
      </c>
      <c r="D545" s="18" t="s">
        <v>1623</v>
      </c>
      <c r="E545" s="18">
        <v>-1.15E-2</v>
      </c>
      <c r="F545" s="18">
        <v>556.5</v>
      </c>
      <c r="G545" s="18">
        <v>566</v>
      </c>
      <c r="H545" s="18">
        <v>558.99</v>
      </c>
      <c r="I545" s="18">
        <v>102414575</v>
      </c>
      <c r="J545" s="18">
        <v>183215</v>
      </c>
    </row>
    <row r="546" spans="1:10" x14ac:dyDescent="0.3">
      <c r="A546" s="18" t="s">
        <v>580</v>
      </c>
      <c r="B546" s="18">
        <v>8.7200000000000006</v>
      </c>
      <c r="C546" s="18" t="s">
        <v>660</v>
      </c>
      <c r="D546" s="18" t="s">
        <v>1494</v>
      </c>
      <c r="E546" s="18">
        <v>1.2800000000000001E-2</v>
      </c>
      <c r="F546" s="18">
        <v>8.5299999999999994</v>
      </c>
      <c r="G546" s="18">
        <v>8.8800000000000008</v>
      </c>
      <c r="H546" s="18">
        <v>8.7200000000000006</v>
      </c>
      <c r="I546" s="18">
        <v>18255694</v>
      </c>
      <c r="J546" s="18">
        <v>2093826</v>
      </c>
    </row>
    <row r="547" spans="1:10" x14ac:dyDescent="0.3">
      <c r="A547" s="18" t="s">
        <v>581</v>
      </c>
      <c r="B547" s="18">
        <v>2.3199999999999998</v>
      </c>
      <c r="C547" s="18" t="s">
        <v>892</v>
      </c>
      <c r="D547" s="18" t="s">
        <v>650</v>
      </c>
      <c r="E547" s="18">
        <v>-1.6899999999999998E-2</v>
      </c>
      <c r="F547" s="18">
        <v>2.29</v>
      </c>
      <c r="G547" s="18">
        <v>2.37</v>
      </c>
      <c r="H547" s="18">
        <v>2.33</v>
      </c>
      <c r="I547" s="18">
        <v>89895711</v>
      </c>
      <c r="J547" s="18">
        <v>38622647</v>
      </c>
    </row>
    <row r="548" spans="1:10" x14ac:dyDescent="0.3">
      <c r="A548" s="18" t="s">
        <v>582</v>
      </c>
      <c r="B548" s="18">
        <v>124</v>
      </c>
      <c r="C548" s="18" t="s">
        <v>898</v>
      </c>
      <c r="D548" s="18" t="s">
        <v>899</v>
      </c>
      <c r="E548" s="18">
        <v>-1.5900000000000001E-2</v>
      </c>
      <c r="F548" s="18">
        <v>124</v>
      </c>
      <c r="G548" s="18">
        <v>125.8</v>
      </c>
      <c r="H548" s="18">
        <v>124.76</v>
      </c>
      <c r="I548" s="18">
        <v>1355406422</v>
      </c>
      <c r="J548" s="18">
        <v>10864453</v>
      </c>
    </row>
    <row r="549" spans="1:10" x14ac:dyDescent="0.3">
      <c r="A549" s="18" t="s">
        <v>583</v>
      </c>
      <c r="B549" s="18">
        <v>14.87</v>
      </c>
      <c r="C549" s="18" t="s">
        <v>89</v>
      </c>
      <c r="D549" s="18" t="s">
        <v>893</v>
      </c>
      <c r="E549" s="18">
        <v>-9.9900000000000003E-2</v>
      </c>
      <c r="F549" s="18">
        <v>14.87</v>
      </c>
      <c r="G549" s="18">
        <v>16.98</v>
      </c>
      <c r="H549" s="18">
        <v>15.79</v>
      </c>
      <c r="I549" s="18">
        <v>726230734</v>
      </c>
      <c r="J549" s="18">
        <v>46004865</v>
      </c>
    </row>
    <row r="550" spans="1:10" x14ac:dyDescent="0.3">
      <c r="A550" s="18" t="s">
        <v>584</v>
      </c>
      <c r="B550" s="18">
        <v>437</v>
      </c>
      <c r="C550" s="18" t="s">
        <v>1624</v>
      </c>
      <c r="D550" s="18" t="s">
        <v>1625</v>
      </c>
      <c r="E550" s="18">
        <v>-1.9599999999999999E-2</v>
      </c>
      <c r="F550" s="18">
        <v>432.25</v>
      </c>
      <c r="G550" s="18">
        <v>447</v>
      </c>
      <c r="H550" s="18">
        <v>438.58</v>
      </c>
      <c r="I550" s="18">
        <v>12901756</v>
      </c>
      <c r="J550" s="18">
        <v>29417</v>
      </c>
    </row>
    <row r="551" spans="1:10" x14ac:dyDescent="0.3">
      <c r="A551" s="18" t="s">
        <v>585</v>
      </c>
      <c r="B551" s="18">
        <v>16.5</v>
      </c>
      <c r="C551" s="18" t="s">
        <v>1626</v>
      </c>
      <c r="D551" s="18" t="s">
        <v>1066</v>
      </c>
      <c r="E551" s="18">
        <v>-2.3999999999999998E-3</v>
      </c>
      <c r="F551" s="18">
        <v>16.28</v>
      </c>
      <c r="G551" s="18">
        <v>16.75</v>
      </c>
      <c r="H551" s="18">
        <v>16.46</v>
      </c>
      <c r="I551" s="18">
        <v>101459229</v>
      </c>
      <c r="J551" s="18">
        <v>6164550</v>
      </c>
    </row>
    <row r="552" spans="1:10" x14ac:dyDescent="0.3">
      <c r="A552" s="18" t="s">
        <v>586</v>
      </c>
      <c r="B552" s="18">
        <v>878</v>
      </c>
      <c r="C552" s="18" t="s">
        <v>1627</v>
      </c>
      <c r="D552" s="18" t="s">
        <v>1628</v>
      </c>
      <c r="E552" s="18">
        <v>3.9100000000000003E-2</v>
      </c>
      <c r="F552" s="18">
        <v>815</v>
      </c>
      <c r="G552" s="18">
        <v>904</v>
      </c>
      <c r="H552" s="18">
        <v>859.47</v>
      </c>
      <c r="I552" s="18">
        <v>33920868</v>
      </c>
      <c r="J552" s="18">
        <v>39467</v>
      </c>
    </row>
    <row r="553" spans="1:10" x14ac:dyDescent="0.3">
      <c r="A553" s="18" t="s">
        <v>587</v>
      </c>
      <c r="B553" s="18">
        <v>23.16</v>
      </c>
      <c r="C553" s="18" t="s">
        <v>895</v>
      </c>
      <c r="D553" s="18" t="s">
        <v>1351</v>
      </c>
      <c r="E553" s="18">
        <v>-2.1999999999999999E-2</v>
      </c>
      <c r="F553" s="18">
        <v>23</v>
      </c>
      <c r="G553" s="18">
        <v>23.9</v>
      </c>
      <c r="H553" s="18">
        <v>23.27</v>
      </c>
      <c r="I553" s="18">
        <v>3840658</v>
      </c>
      <c r="J553" s="18">
        <v>165073</v>
      </c>
    </row>
    <row r="554" spans="1:10" x14ac:dyDescent="0.3">
      <c r="A554" s="18" t="s">
        <v>588</v>
      </c>
      <c r="B554" s="18">
        <v>105.6</v>
      </c>
      <c r="C554" s="18" t="s">
        <v>1629</v>
      </c>
      <c r="D554" s="18" t="s">
        <v>896</v>
      </c>
      <c r="E554" s="18">
        <v>-2.4E-2</v>
      </c>
      <c r="F554" s="18">
        <v>105.1</v>
      </c>
      <c r="G554" s="18">
        <v>108.1</v>
      </c>
      <c r="H554" s="18">
        <v>106.34</v>
      </c>
      <c r="I554" s="18">
        <v>590218449</v>
      </c>
      <c r="J554" s="18">
        <v>5550098</v>
      </c>
    </row>
    <row r="555" spans="1:10" x14ac:dyDescent="0.3">
      <c r="A555" s="18" t="s">
        <v>589</v>
      </c>
      <c r="B555" s="18">
        <v>3.5</v>
      </c>
      <c r="C555" s="18" t="s">
        <v>1630</v>
      </c>
      <c r="D555" s="18" t="s">
        <v>897</v>
      </c>
      <c r="E555" s="18">
        <v>-2.7799999999999998E-2</v>
      </c>
      <c r="F555" s="18">
        <v>3.47</v>
      </c>
      <c r="G555" s="18">
        <v>3.63</v>
      </c>
      <c r="H555" s="18">
        <v>3.53</v>
      </c>
      <c r="I555" s="18">
        <v>45471647</v>
      </c>
      <c r="J555" s="18">
        <v>12889920</v>
      </c>
    </row>
    <row r="556" spans="1:10" x14ac:dyDescent="0.3">
      <c r="A556" s="18" t="s">
        <v>590</v>
      </c>
      <c r="B556" s="18">
        <v>127.2</v>
      </c>
      <c r="C556" s="18" t="s">
        <v>1631</v>
      </c>
      <c r="D556" s="18" t="s">
        <v>1632</v>
      </c>
      <c r="E556" s="18">
        <v>9.4999999999999998E-3</v>
      </c>
      <c r="F556" s="18">
        <v>122</v>
      </c>
      <c r="G556" s="18">
        <v>129.4</v>
      </c>
      <c r="H556" s="18">
        <v>124.66</v>
      </c>
      <c r="I556" s="18">
        <v>16585259</v>
      </c>
      <c r="J556" s="18">
        <v>133040</v>
      </c>
    </row>
    <row r="557" spans="1:10" x14ac:dyDescent="0.3">
      <c r="A557" s="18" t="s">
        <v>591</v>
      </c>
      <c r="B557" s="18">
        <v>6.21</v>
      </c>
      <c r="C557" s="18" t="s">
        <v>631</v>
      </c>
      <c r="D557" s="18" t="s">
        <v>900</v>
      </c>
      <c r="E557" s="18">
        <v>-2.9700000000000001E-2</v>
      </c>
      <c r="F557" s="18">
        <v>6.19</v>
      </c>
      <c r="G557" s="18">
        <v>6.44</v>
      </c>
      <c r="H557" s="18">
        <v>6.3</v>
      </c>
      <c r="I557" s="18">
        <v>14107440</v>
      </c>
      <c r="J557" s="18">
        <v>2240930</v>
      </c>
    </row>
    <row r="558" spans="1:10" x14ac:dyDescent="0.3">
      <c r="A558" s="18" t="s">
        <v>592</v>
      </c>
      <c r="B558" s="18">
        <v>9.3000000000000007</v>
      </c>
      <c r="C558" s="18" t="s">
        <v>89</v>
      </c>
      <c r="D558" s="18" t="s">
        <v>89</v>
      </c>
      <c r="E558" s="18">
        <v>0</v>
      </c>
      <c r="F558" s="18">
        <v>0</v>
      </c>
      <c r="G558" s="18">
        <v>0</v>
      </c>
      <c r="H558" s="18">
        <v>0</v>
      </c>
      <c r="I558" s="18">
        <v>0</v>
      </c>
      <c r="J558" s="18">
        <v>0</v>
      </c>
    </row>
    <row r="559" spans="1:10" x14ac:dyDescent="0.3">
      <c r="A559" s="18" t="s">
        <v>593</v>
      </c>
      <c r="B559" s="18">
        <v>15.47</v>
      </c>
      <c r="C559" s="18" t="s">
        <v>1633</v>
      </c>
      <c r="D559" s="18" t="s">
        <v>1634</v>
      </c>
      <c r="E559" s="18">
        <v>5.3800000000000001E-2</v>
      </c>
      <c r="F559" s="18">
        <v>14.59</v>
      </c>
      <c r="G559" s="18">
        <v>15.47</v>
      </c>
      <c r="H559" s="18">
        <v>14.98</v>
      </c>
      <c r="I559" s="18">
        <v>13212719</v>
      </c>
      <c r="J559" s="18">
        <v>881787</v>
      </c>
    </row>
    <row r="560" spans="1:10" x14ac:dyDescent="0.3">
      <c r="A560" s="18" t="s">
        <v>594</v>
      </c>
      <c r="B560" s="18">
        <v>5.32</v>
      </c>
      <c r="C560" s="18" t="s">
        <v>1635</v>
      </c>
      <c r="D560" s="18" t="s">
        <v>1636</v>
      </c>
      <c r="E560" s="18">
        <v>1.72E-2</v>
      </c>
      <c r="F560" s="18">
        <v>5.28</v>
      </c>
      <c r="G560" s="18">
        <v>5.67</v>
      </c>
      <c r="H560" s="18">
        <v>5.48</v>
      </c>
      <c r="I560" s="18">
        <v>893183700</v>
      </c>
      <c r="J560" s="18">
        <v>162934257</v>
      </c>
    </row>
    <row r="561" spans="1:10" x14ac:dyDescent="0.3">
      <c r="A561" s="18" t="s">
        <v>595</v>
      </c>
      <c r="B561" s="18">
        <v>22.54</v>
      </c>
      <c r="C561" s="18" t="s">
        <v>1637</v>
      </c>
      <c r="D561" s="18" t="s">
        <v>1638</v>
      </c>
      <c r="E561" s="18">
        <v>-7.9000000000000008E-3</v>
      </c>
      <c r="F561" s="18">
        <v>22.12</v>
      </c>
      <c r="G561" s="18">
        <v>22.7</v>
      </c>
      <c r="H561" s="18">
        <v>22.38</v>
      </c>
      <c r="I561" s="18">
        <v>425666067</v>
      </c>
      <c r="J561" s="18">
        <v>19019084</v>
      </c>
    </row>
    <row r="562" spans="1:10" x14ac:dyDescent="0.3">
      <c r="A562" s="18" t="s">
        <v>596</v>
      </c>
      <c r="B562" s="18">
        <v>2.06</v>
      </c>
      <c r="C562" s="18" t="s">
        <v>703</v>
      </c>
      <c r="D562" s="18" t="s">
        <v>704</v>
      </c>
      <c r="E562" s="18">
        <v>-2.8299999999999999E-2</v>
      </c>
      <c r="F562" s="18">
        <v>2.0499999999999998</v>
      </c>
      <c r="G562" s="18">
        <v>2.1800000000000002</v>
      </c>
      <c r="H562" s="18">
        <v>2.12</v>
      </c>
      <c r="I562" s="18">
        <v>157792039</v>
      </c>
      <c r="J562" s="18">
        <v>74619962</v>
      </c>
    </row>
    <row r="563" spans="1:10" x14ac:dyDescent="0.3">
      <c r="A563" s="18" t="s">
        <v>597</v>
      </c>
      <c r="B563" s="18">
        <v>54.15</v>
      </c>
      <c r="C563" s="18" t="s">
        <v>1551</v>
      </c>
      <c r="D563" s="18" t="s">
        <v>1639</v>
      </c>
      <c r="E563" s="18">
        <v>-2.9600000000000001E-2</v>
      </c>
      <c r="F563" s="18">
        <v>53.15</v>
      </c>
      <c r="G563" s="18">
        <v>56.05</v>
      </c>
      <c r="H563" s="18">
        <v>54.55</v>
      </c>
      <c r="I563" s="18">
        <v>57457645</v>
      </c>
      <c r="J563" s="18">
        <v>1053282</v>
      </c>
    </row>
    <row r="564" spans="1:10" x14ac:dyDescent="0.3">
      <c r="A564" s="18" t="s">
        <v>598</v>
      </c>
      <c r="B564" s="18">
        <v>34.82</v>
      </c>
      <c r="C564" s="18" t="s">
        <v>1640</v>
      </c>
      <c r="D564" s="18" t="s">
        <v>89</v>
      </c>
      <c r="E564" s="18">
        <v>9.98E-2</v>
      </c>
      <c r="F564" s="18">
        <v>32</v>
      </c>
      <c r="G564" s="18">
        <v>34.82</v>
      </c>
      <c r="H564" s="18">
        <v>33.58</v>
      </c>
      <c r="I564" s="18">
        <v>8304572</v>
      </c>
      <c r="J564" s="18">
        <v>247333</v>
      </c>
    </row>
    <row r="565" spans="1:10" x14ac:dyDescent="0.3">
      <c r="A565" s="18" t="s">
        <v>599</v>
      </c>
      <c r="B565" s="18">
        <v>19.02</v>
      </c>
      <c r="C565" s="18" t="s">
        <v>1641</v>
      </c>
      <c r="D565" s="18" t="s">
        <v>1642</v>
      </c>
      <c r="E565" s="18">
        <v>8.9999999999999993E-3</v>
      </c>
      <c r="F565" s="18">
        <v>18.77</v>
      </c>
      <c r="G565" s="18">
        <v>19.21</v>
      </c>
      <c r="H565" s="18">
        <v>19.010000000000002</v>
      </c>
      <c r="I565" s="18">
        <v>34250693</v>
      </c>
      <c r="J565" s="18">
        <v>1801339</v>
      </c>
    </row>
    <row r="566" spans="1:10" x14ac:dyDescent="0.3">
      <c r="A566" s="18" t="s">
        <v>600</v>
      </c>
      <c r="B566" s="18">
        <v>30.48</v>
      </c>
      <c r="C566" s="18" t="s">
        <v>902</v>
      </c>
      <c r="D566" s="18" t="s">
        <v>1643</v>
      </c>
      <c r="E566" s="18">
        <v>-1.23E-2</v>
      </c>
      <c r="F566" s="18">
        <v>30.32</v>
      </c>
      <c r="G566" s="18">
        <v>31.44</v>
      </c>
      <c r="H566" s="18">
        <v>30.72</v>
      </c>
      <c r="I566" s="18">
        <v>12904324</v>
      </c>
      <c r="J566" s="18">
        <v>420120</v>
      </c>
    </row>
    <row r="567" spans="1:10" x14ac:dyDescent="0.3">
      <c r="A567" s="18" t="s">
        <v>601</v>
      </c>
      <c r="B567" s="18">
        <v>222.9</v>
      </c>
      <c r="C567" s="18" t="s">
        <v>1644</v>
      </c>
      <c r="D567" s="18" t="s">
        <v>1645</v>
      </c>
      <c r="E567" s="18">
        <v>8.1500000000000003E-2</v>
      </c>
      <c r="F567" s="18">
        <v>202.3</v>
      </c>
      <c r="G567" s="18">
        <v>222.9</v>
      </c>
      <c r="H567" s="18">
        <v>213.98</v>
      </c>
      <c r="I567" s="18">
        <v>36475721</v>
      </c>
      <c r="J567" s="18">
        <v>170464</v>
      </c>
    </row>
    <row r="568" spans="1:10" x14ac:dyDescent="0.3">
      <c r="A568" s="18" t="s">
        <v>602</v>
      </c>
      <c r="B568" s="18">
        <v>8.73</v>
      </c>
      <c r="C568" s="18" t="s">
        <v>1494</v>
      </c>
      <c r="D568" s="18" t="s">
        <v>1646</v>
      </c>
      <c r="E568" s="18">
        <v>-7.2300000000000003E-2</v>
      </c>
      <c r="F568" s="18">
        <v>8.73</v>
      </c>
      <c r="G568" s="18">
        <v>9.4499999999999993</v>
      </c>
      <c r="H568" s="18">
        <v>8.9700000000000006</v>
      </c>
      <c r="I568" s="18">
        <v>222083736</v>
      </c>
      <c r="J568" s="18">
        <v>24757472</v>
      </c>
    </row>
    <row r="569" spans="1:10" x14ac:dyDescent="0.3">
      <c r="A569" s="18" t="s">
        <v>603</v>
      </c>
      <c r="B569" s="18">
        <v>33.119999999999997</v>
      </c>
      <c r="C569" s="18" t="s">
        <v>806</v>
      </c>
      <c r="D569" s="18" t="s">
        <v>1647</v>
      </c>
      <c r="E569" s="18">
        <v>-8.4599999999999995E-2</v>
      </c>
      <c r="F569" s="18">
        <v>33.119999999999997</v>
      </c>
      <c r="G569" s="18">
        <v>36.159999999999997</v>
      </c>
      <c r="H569" s="18">
        <v>34.340000000000003</v>
      </c>
      <c r="I569" s="18">
        <v>458750968</v>
      </c>
      <c r="J569" s="18">
        <v>13360354</v>
      </c>
    </row>
    <row r="570" spans="1:10" x14ac:dyDescent="0.3">
      <c r="A570" s="18" t="s">
        <v>604</v>
      </c>
      <c r="B570" s="18">
        <v>16.79</v>
      </c>
      <c r="C570" s="18" t="s">
        <v>1648</v>
      </c>
      <c r="D570" s="18" t="s">
        <v>657</v>
      </c>
      <c r="E570" s="18">
        <v>-2.0400000000000001E-2</v>
      </c>
      <c r="F570" s="18">
        <v>16.78</v>
      </c>
      <c r="G570" s="18">
        <v>17.14</v>
      </c>
      <c r="H570" s="18">
        <v>16.97</v>
      </c>
      <c r="I570" s="18">
        <v>1692223</v>
      </c>
      <c r="J570" s="18">
        <v>99744</v>
      </c>
    </row>
    <row r="571" spans="1:10" x14ac:dyDescent="0.3">
      <c r="A571" s="18" t="s">
        <v>605</v>
      </c>
      <c r="B571" s="18">
        <v>1.87</v>
      </c>
      <c r="C571" s="18" t="s">
        <v>835</v>
      </c>
      <c r="D571" s="18" t="s">
        <v>638</v>
      </c>
      <c r="E571" s="18">
        <v>-1.06E-2</v>
      </c>
      <c r="F571" s="18">
        <v>1.87</v>
      </c>
      <c r="G571" s="18">
        <v>1.9</v>
      </c>
      <c r="H571" s="18">
        <v>1.88</v>
      </c>
      <c r="I571" s="18">
        <v>21488089</v>
      </c>
      <c r="J571" s="18">
        <v>11425601</v>
      </c>
    </row>
    <row r="572" spans="1:10" x14ac:dyDescent="0.3">
      <c r="A572" s="18" t="s">
        <v>606</v>
      </c>
      <c r="B572" s="18">
        <v>26.38</v>
      </c>
      <c r="C572" s="18" t="s">
        <v>903</v>
      </c>
      <c r="D572" s="18" t="s">
        <v>1649</v>
      </c>
      <c r="E572" s="18">
        <v>-1.2699999999999999E-2</v>
      </c>
      <c r="F572" s="18">
        <v>26.12</v>
      </c>
      <c r="G572" s="18">
        <v>27.66</v>
      </c>
      <c r="H572" s="18">
        <v>26.45</v>
      </c>
      <c r="I572" s="18">
        <v>1524185</v>
      </c>
      <c r="J572" s="18">
        <v>57617</v>
      </c>
    </row>
    <row r="573" spans="1:10" x14ac:dyDescent="0.3">
      <c r="A573" s="18" t="s">
        <v>607</v>
      </c>
      <c r="B573" s="18">
        <v>2.29</v>
      </c>
      <c r="C573" s="18" t="s">
        <v>637</v>
      </c>
      <c r="D573" s="18" t="s">
        <v>1650</v>
      </c>
      <c r="E573" s="18">
        <v>-4.3E-3</v>
      </c>
      <c r="F573" s="18">
        <v>2.2599999999999998</v>
      </c>
      <c r="G573" s="18">
        <v>2.3199999999999998</v>
      </c>
      <c r="H573" s="18">
        <v>2.2799999999999998</v>
      </c>
      <c r="I573" s="18">
        <v>16897876</v>
      </c>
      <c r="J573" s="18">
        <v>7398024</v>
      </c>
    </row>
    <row r="574" spans="1:10" x14ac:dyDescent="0.3">
      <c r="A574" s="18" t="s">
        <v>608</v>
      </c>
      <c r="B574" s="18">
        <v>415</v>
      </c>
      <c r="C574" s="18" t="s">
        <v>1651</v>
      </c>
      <c r="D574" s="18" t="s">
        <v>1652</v>
      </c>
      <c r="E574" s="18">
        <v>1.84E-2</v>
      </c>
      <c r="F574" s="18">
        <v>366.75</v>
      </c>
      <c r="G574" s="18">
        <v>448.25</v>
      </c>
      <c r="H574" s="18">
        <v>408.25</v>
      </c>
      <c r="I574" s="18">
        <v>2684660776</v>
      </c>
      <c r="J574" s="18">
        <v>6575969</v>
      </c>
    </row>
    <row r="575" spans="1:10" x14ac:dyDescent="0.3">
      <c r="A575" s="18" t="s">
        <v>609</v>
      </c>
      <c r="B575" s="18">
        <v>263.25</v>
      </c>
      <c r="C575" s="18" t="s">
        <v>1653</v>
      </c>
      <c r="D575" s="18" t="s">
        <v>1654</v>
      </c>
      <c r="E575" s="18">
        <v>-4.19E-2</v>
      </c>
      <c r="F575" s="18">
        <v>262</v>
      </c>
      <c r="G575" s="18">
        <v>283.75</v>
      </c>
      <c r="H575" s="18">
        <v>271.19</v>
      </c>
      <c r="I575" s="18">
        <v>106549177</v>
      </c>
      <c r="J575" s="18">
        <v>392898</v>
      </c>
    </row>
    <row r="576" spans="1:10" x14ac:dyDescent="0.3">
      <c r="A576" s="18" t="s">
        <v>610</v>
      </c>
      <c r="B576" s="18">
        <v>23.84</v>
      </c>
      <c r="C576" s="18" t="s">
        <v>655</v>
      </c>
      <c r="D576" s="18" t="s">
        <v>1655</v>
      </c>
      <c r="E576" s="18">
        <v>-2.7699999999999999E-2</v>
      </c>
      <c r="F576" s="18">
        <v>23.76</v>
      </c>
      <c r="G576" s="18">
        <v>24.58</v>
      </c>
      <c r="H576" s="18">
        <v>24.02</v>
      </c>
      <c r="I576" s="18">
        <v>23293439</v>
      </c>
      <c r="J576" s="18">
        <v>969946</v>
      </c>
    </row>
    <row r="577" spans="1:10" x14ac:dyDescent="0.3">
      <c r="A577" s="18" t="s">
        <v>611</v>
      </c>
      <c r="B577" s="18">
        <v>25.7</v>
      </c>
      <c r="C577" s="18" t="s">
        <v>1656</v>
      </c>
      <c r="D577" s="18" t="s">
        <v>1657</v>
      </c>
      <c r="E577" s="18">
        <v>-3.6700000000000003E-2</v>
      </c>
      <c r="F577" s="18">
        <v>24.02</v>
      </c>
      <c r="G577" s="18">
        <v>27</v>
      </c>
      <c r="H577" s="18">
        <v>24.88</v>
      </c>
      <c r="I577" s="18">
        <v>38135917</v>
      </c>
      <c r="J577" s="18">
        <v>1532961</v>
      </c>
    </row>
    <row r="578" spans="1:10" x14ac:dyDescent="0.3">
      <c r="A578" s="18" t="s">
        <v>612</v>
      </c>
      <c r="B578" s="18">
        <v>99187.5</v>
      </c>
      <c r="C578" s="18" t="s">
        <v>1658</v>
      </c>
      <c r="D578" s="18" t="s">
        <v>1659</v>
      </c>
      <c r="E578" s="18">
        <v>-7.2999999999999995E-2</v>
      </c>
      <c r="F578" s="18">
        <v>96300</v>
      </c>
      <c r="G578" s="18">
        <v>103980</v>
      </c>
      <c r="H578" s="18">
        <v>97590.33</v>
      </c>
      <c r="I578" s="18">
        <v>15028910</v>
      </c>
      <c r="J578" s="18">
        <v>154</v>
      </c>
    </row>
    <row r="579" spans="1:10" x14ac:dyDescent="0.3">
      <c r="A579" s="18" t="s">
        <v>613</v>
      </c>
      <c r="B579" s="18">
        <v>40.020000000000003</v>
      </c>
      <c r="C579" s="18" t="s">
        <v>1390</v>
      </c>
      <c r="D579" s="18" t="s">
        <v>1451</v>
      </c>
      <c r="E579" s="18">
        <v>3.0000000000000001E-3</v>
      </c>
      <c r="F579" s="18">
        <v>39.340000000000003</v>
      </c>
      <c r="G579" s="18">
        <v>40.159999999999997</v>
      </c>
      <c r="H579" s="18">
        <v>39.619999999999997</v>
      </c>
      <c r="I579" s="18">
        <v>101212263</v>
      </c>
      <c r="J579" s="18">
        <v>2554839</v>
      </c>
    </row>
    <row r="580" spans="1:10" x14ac:dyDescent="0.3">
      <c r="A580" s="18" t="s">
        <v>614</v>
      </c>
      <c r="B580" s="18">
        <v>1.47</v>
      </c>
      <c r="C580" s="18" t="s">
        <v>1660</v>
      </c>
      <c r="D580" s="18" t="s">
        <v>1661</v>
      </c>
      <c r="E580" s="18">
        <v>-0.02</v>
      </c>
      <c r="F580" s="18">
        <v>1.45</v>
      </c>
      <c r="G580" s="18">
        <v>1.57</v>
      </c>
      <c r="H580" s="18">
        <v>1.51</v>
      </c>
      <c r="I580" s="18">
        <v>207619315</v>
      </c>
      <c r="J580" s="18">
        <v>137173209</v>
      </c>
    </row>
    <row r="581" spans="1:10" x14ac:dyDescent="0.3">
      <c r="A581" s="18" t="s">
        <v>615</v>
      </c>
      <c r="B581" s="18">
        <v>82.55</v>
      </c>
      <c r="C581" s="18" t="s">
        <v>1662</v>
      </c>
      <c r="D581" s="18" t="s">
        <v>1663</v>
      </c>
      <c r="E581" s="18">
        <v>-1.43E-2</v>
      </c>
      <c r="F581" s="18">
        <v>82.05</v>
      </c>
      <c r="G581" s="18">
        <v>83.75</v>
      </c>
      <c r="H581" s="18">
        <v>82.6</v>
      </c>
      <c r="I581" s="18">
        <v>6231106</v>
      </c>
      <c r="J581" s="18">
        <v>75442</v>
      </c>
    </row>
    <row r="582" spans="1:10" x14ac:dyDescent="0.3">
      <c r="A582" s="18" t="s">
        <v>616</v>
      </c>
      <c r="B582" s="18">
        <v>6.18</v>
      </c>
      <c r="C582" s="18" t="s">
        <v>887</v>
      </c>
      <c r="D582" s="18" t="s">
        <v>695</v>
      </c>
      <c r="E582" s="18">
        <v>9.1899999999999996E-2</v>
      </c>
      <c r="F582" s="18">
        <v>5.48</v>
      </c>
      <c r="G582" s="18">
        <v>6.18</v>
      </c>
      <c r="H582" s="18">
        <v>5.91</v>
      </c>
      <c r="I582" s="18">
        <v>13859232</v>
      </c>
      <c r="J582" s="18">
        <v>2344794</v>
      </c>
    </row>
    <row r="583" spans="1:10" x14ac:dyDescent="0.3">
      <c r="A583" s="18" t="s">
        <v>617</v>
      </c>
      <c r="B583" s="18">
        <v>23.4</v>
      </c>
      <c r="C583" s="18" t="s">
        <v>1190</v>
      </c>
      <c r="D583" s="18" t="s">
        <v>1664</v>
      </c>
      <c r="E583" s="18">
        <v>-2.8199999999999999E-2</v>
      </c>
      <c r="F583" s="18">
        <v>23.36</v>
      </c>
      <c r="G583" s="18">
        <v>24.2</v>
      </c>
      <c r="H583" s="18">
        <v>23.68</v>
      </c>
      <c r="I583" s="18">
        <v>54505195</v>
      </c>
      <c r="J583" s="18">
        <v>2301865</v>
      </c>
    </row>
    <row r="584" spans="1:10" x14ac:dyDescent="0.3">
      <c r="A584" s="18" t="s">
        <v>618</v>
      </c>
      <c r="B584" s="18">
        <v>25.46</v>
      </c>
      <c r="C584" s="18" t="s">
        <v>740</v>
      </c>
      <c r="D584" s="18" t="s">
        <v>741</v>
      </c>
      <c r="E584" s="18">
        <v>-1.9300000000000001E-2</v>
      </c>
      <c r="F584" s="18">
        <v>25.4</v>
      </c>
      <c r="G584" s="18">
        <v>26.1</v>
      </c>
      <c r="H584" s="18">
        <v>25.58</v>
      </c>
      <c r="I584" s="18">
        <v>4874660114</v>
      </c>
      <c r="J584" s="18">
        <v>190542244</v>
      </c>
    </row>
    <row r="585" spans="1:10" x14ac:dyDescent="0.3">
      <c r="A585" s="18" t="s">
        <v>619</v>
      </c>
      <c r="B585" s="18">
        <v>4.75</v>
      </c>
      <c r="C585" s="18" t="s">
        <v>640</v>
      </c>
      <c r="D585" s="18" t="s">
        <v>632</v>
      </c>
      <c r="E585" s="18">
        <v>-1.04E-2</v>
      </c>
      <c r="F585" s="18">
        <v>4.74</v>
      </c>
      <c r="G585" s="18">
        <v>4.87</v>
      </c>
      <c r="H585" s="18">
        <v>4.79</v>
      </c>
      <c r="I585" s="18">
        <v>12709173</v>
      </c>
      <c r="J585" s="18">
        <v>2654592</v>
      </c>
    </row>
    <row r="586" spans="1:10" x14ac:dyDescent="0.3">
      <c r="A586" s="18" t="s">
        <v>620</v>
      </c>
      <c r="B586" s="18">
        <v>59</v>
      </c>
      <c r="C586" s="18" t="s">
        <v>1665</v>
      </c>
      <c r="D586" s="18" t="s">
        <v>1666</v>
      </c>
      <c r="E586" s="18">
        <v>-1.17E-2</v>
      </c>
      <c r="F586" s="18">
        <v>58</v>
      </c>
      <c r="G586" s="18">
        <v>59</v>
      </c>
      <c r="H586" s="18">
        <v>58.65</v>
      </c>
      <c r="I586" s="18">
        <v>845680</v>
      </c>
      <c r="J586" s="18">
        <v>14420</v>
      </c>
    </row>
    <row r="587" spans="1:10" x14ac:dyDescent="0.3">
      <c r="A587" s="18" t="s">
        <v>621</v>
      </c>
      <c r="B587" s="18">
        <v>5.07</v>
      </c>
      <c r="C587" s="18" t="s">
        <v>1667</v>
      </c>
      <c r="D587" s="18" t="s">
        <v>1668</v>
      </c>
      <c r="E587" s="18">
        <v>-7.7999999999999996E-3</v>
      </c>
      <c r="F587" s="18">
        <v>5.0199999999999996</v>
      </c>
      <c r="G587" s="18">
        <v>5.1100000000000003</v>
      </c>
      <c r="H587" s="18">
        <v>5.05</v>
      </c>
      <c r="I587" s="18">
        <v>9609462</v>
      </c>
      <c r="J587" s="18">
        <v>1902231</v>
      </c>
    </row>
    <row r="588" spans="1:10" x14ac:dyDescent="0.3">
      <c r="A588" s="18" t="s">
        <v>622</v>
      </c>
      <c r="B588" s="18">
        <v>1.71</v>
      </c>
      <c r="C588" s="18" t="s">
        <v>861</v>
      </c>
      <c r="D588" s="18" t="s">
        <v>862</v>
      </c>
      <c r="E588" s="18">
        <v>3.0099999999999998E-2</v>
      </c>
      <c r="F588" s="18">
        <v>1.64</v>
      </c>
      <c r="G588" s="18">
        <v>1.82</v>
      </c>
      <c r="H588" s="18">
        <v>1.74</v>
      </c>
      <c r="I588" s="18">
        <v>488541399</v>
      </c>
      <c r="J588" s="18">
        <v>280728551</v>
      </c>
    </row>
    <row r="589" spans="1:10" x14ac:dyDescent="0.3">
      <c r="A589" s="18" t="s">
        <v>623</v>
      </c>
      <c r="B589" s="18">
        <v>9.3000000000000007</v>
      </c>
      <c r="C589" s="18" t="s">
        <v>1669</v>
      </c>
      <c r="D589" s="18" t="s">
        <v>752</v>
      </c>
      <c r="E589" s="18">
        <v>-0.02</v>
      </c>
      <c r="F589" s="18">
        <v>9.26</v>
      </c>
      <c r="G589" s="18">
        <v>9.56</v>
      </c>
      <c r="H589" s="18">
        <v>9.36</v>
      </c>
      <c r="I589" s="18">
        <v>38813426</v>
      </c>
      <c r="J589" s="18">
        <v>4148302</v>
      </c>
    </row>
    <row r="590" spans="1:10" x14ac:dyDescent="0.3">
      <c r="A590" s="18" t="s">
        <v>624</v>
      </c>
      <c r="B590" s="18">
        <v>7.71</v>
      </c>
      <c r="C590" s="18" t="s">
        <v>807</v>
      </c>
      <c r="D590" s="18" t="s">
        <v>1670</v>
      </c>
      <c r="E590" s="18">
        <v>-4.4600000000000001E-2</v>
      </c>
      <c r="F590" s="18">
        <v>7.65</v>
      </c>
      <c r="G590" s="18">
        <v>8.15</v>
      </c>
      <c r="H590" s="18">
        <v>7.84</v>
      </c>
      <c r="I590" s="18">
        <v>19770658</v>
      </c>
      <c r="J590" s="18">
        <v>2522649</v>
      </c>
    </row>
    <row r="591" spans="1:10" x14ac:dyDescent="0.3">
      <c r="A591" s="18" t="s">
        <v>625</v>
      </c>
      <c r="B591" s="18">
        <v>2.99</v>
      </c>
      <c r="C591" s="18" t="s">
        <v>790</v>
      </c>
      <c r="D591" s="18" t="s">
        <v>1671</v>
      </c>
      <c r="E591" s="18">
        <v>-6.6E-3</v>
      </c>
      <c r="F591" s="18">
        <v>2.95</v>
      </c>
      <c r="G591" s="18">
        <v>3.01</v>
      </c>
      <c r="H591" s="18">
        <v>2.98</v>
      </c>
      <c r="I591" s="18">
        <v>66033981</v>
      </c>
      <c r="J591" s="18">
        <v>22171487</v>
      </c>
    </row>
    <row r="592" spans="1:10" x14ac:dyDescent="0.3">
      <c r="A592" s="18" t="s">
        <v>626</v>
      </c>
      <c r="B592" s="18">
        <v>25.18</v>
      </c>
      <c r="C592" s="18" t="s">
        <v>1672</v>
      </c>
      <c r="D592" s="18" t="s">
        <v>1673</v>
      </c>
      <c r="E592" s="18">
        <v>2.0299999999999999E-2</v>
      </c>
      <c r="F592" s="18">
        <v>24.46</v>
      </c>
      <c r="G592" s="18">
        <v>25.18</v>
      </c>
      <c r="H592" s="18">
        <v>24.87</v>
      </c>
      <c r="I592" s="18">
        <v>77442662</v>
      </c>
      <c r="J592" s="18">
        <v>3113631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D529F6-F284-4272-AAEB-50C8987920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</vt:lpstr>
      <vt:lpstr>analiz</vt:lpstr>
      <vt:lpstr>Bist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2025-05-31T09:39:10Z</dcterms:modified>
</cp:coreProperties>
</file>